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7875" windowHeight="750" firstSheet="1" activeTab="5"/>
  </bookViews>
  <sheets>
    <sheet name="EmployeeDataSample" sheetId="1" r:id="rId1"/>
    <sheet name="Pivot Table" sheetId="6" r:id="rId2"/>
    <sheet name="Pivot Table Male Employes" sheetId="7" r:id="rId3"/>
    <sheet name="Sheet9" sheetId="10" r:id="rId4"/>
    <sheet name="Sheet10" sheetId="11" r:id="rId5"/>
    <sheet name="Sheet8" sheetId="9" r:id="rId6"/>
    <sheet name="Sheet7" sheetId="8" r:id="rId7"/>
    <sheet name="Results " sheetId="2" r:id="rId8"/>
  </sheets>
  <definedNames>
    <definedName name="_xlcn.WorksheetConnection_EmployeeData_assignment1_DA11_Black.xlsxTable11" hidden="1">Table1[]</definedName>
    <definedName name="_xlcn.WorksheetConnection_EmployeeDataSampleLL1" hidden="1">EmployeeDataSample!$L:$L</definedName>
    <definedName name="_xlcn.WorksheetConnection_EmployeeDataSampleRR1" hidden="1">EmployeeDataSample!$R:$R</definedName>
    <definedName name="_xlcn.WorksheetConnection_EmployeeDataSampleSS1" hidden="1">EmployeeDataSample!$S:$S</definedName>
  </definedNames>
  <calcPr calcId="162913"/>
  <pivotCaches>
    <pivotCache cacheId="92" r:id="rId9"/>
    <pivotCache cacheId="138" r:id="rId10"/>
    <pivotCache cacheId="139" r:id="rId11"/>
    <pivotCache cacheId="141" r:id="rId12"/>
    <pivotCache cacheId="150" r:id="rId13"/>
    <pivotCache cacheId="161" r:id="rId14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EmployeeDataSample!$R:$R"/>
          <x15:modelTable id="Table1" name="Table1" connection="WorksheetConnection_Employee Data _assignment 1 _DA11_Black.xlsx!Table1"/>
          <x15:modelTable id="Range1" name="Range1" connection="WorksheetConnection_EmployeeDataSample!$S:$S"/>
          <x15:modelTable id="Range2" name="Range2" connection="WorksheetConnection_EmployeeDataSample!$L:$L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G5" i="2"/>
  <c r="G4" i="2"/>
  <c r="G3" i="2"/>
  <c r="T932" i="1" l="1"/>
  <c r="T1464" i="1"/>
  <c r="T1460" i="1"/>
  <c r="T1456" i="1"/>
  <c r="T1452" i="1"/>
  <c r="T1448" i="1"/>
  <c r="T1444" i="1"/>
  <c r="T1440" i="1"/>
  <c r="T1436" i="1"/>
  <c r="T1432" i="1"/>
  <c r="T1428" i="1"/>
  <c r="T1424" i="1"/>
  <c r="T1420" i="1"/>
  <c r="T1416" i="1"/>
  <c r="T1412" i="1"/>
  <c r="T1408" i="1"/>
  <c r="T1404" i="1"/>
  <c r="T1400" i="1"/>
  <c r="T1396" i="1"/>
  <c r="T1392" i="1"/>
  <c r="T1388" i="1"/>
  <c r="T1384" i="1"/>
  <c r="T1380" i="1"/>
  <c r="T1376" i="1"/>
  <c r="T1372" i="1"/>
  <c r="T1368" i="1"/>
  <c r="T1364" i="1"/>
  <c r="T1360" i="1"/>
  <c r="T1356" i="1"/>
  <c r="T1352" i="1"/>
  <c r="T1348" i="1"/>
  <c r="T1344" i="1"/>
  <c r="T1340" i="1"/>
  <c r="T1336" i="1"/>
  <c r="T1332" i="1"/>
  <c r="T1328" i="1"/>
  <c r="T1324" i="1"/>
  <c r="T1320" i="1"/>
  <c r="T1316" i="1"/>
  <c r="T1312" i="1"/>
  <c r="T1308" i="1"/>
  <c r="T1304" i="1"/>
  <c r="T1300" i="1"/>
  <c r="T1296" i="1"/>
  <c r="T1292" i="1"/>
  <c r="T1288" i="1"/>
  <c r="T1284" i="1"/>
  <c r="T1280" i="1"/>
  <c r="T1276" i="1"/>
  <c r="T1272" i="1"/>
  <c r="T1268" i="1"/>
  <c r="T1264" i="1"/>
  <c r="T1260" i="1"/>
  <c r="T1256" i="1"/>
  <c r="T1252" i="1"/>
  <c r="T1248" i="1"/>
  <c r="T1244" i="1"/>
  <c r="T1240" i="1"/>
  <c r="T1236" i="1"/>
  <c r="T1232" i="1"/>
  <c r="T1228" i="1"/>
  <c r="T1224" i="1"/>
  <c r="T1220" i="1"/>
  <c r="T1216" i="1"/>
  <c r="T1212" i="1"/>
  <c r="T1208" i="1"/>
  <c r="T1204" i="1"/>
  <c r="T1200" i="1"/>
  <c r="T1196" i="1"/>
  <c r="T1192" i="1"/>
  <c r="T1188" i="1"/>
  <c r="T1184" i="1"/>
  <c r="T1180" i="1"/>
  <c r="T1176" i="1"/>
  <c r="T1172" i="1"/>
  <c r="T1168" i="1"/>
  <c r="T1164" i="1"/>
  <c r="T1160" i="1"/>
  <c r="T1156" i="1"/>
  <c r="T1152" i="1"/>
  <c r="T1148" i="1"/>
  <c r="T1144" i="1"/>
  <c r="T1140" i="1"/>
  <c r="T1136" i="1"/>
  <c r="T1132" i="1"/>
  <c r="T1128" i="1"/>
  <c r="T1124" i="1"/>
  <c r="T1120" i="1"/>
  <c r="T1116" i="1"/>
  <c r="T1112" i="1"/>
  <c r="T1108" i="1"/>
  <c r="T1104" i="1"/>
  <c r="T1100" i="1"/>
  <c r="T1096" i="1"/>
  <c r="T1092" i="1"/>
  <c r="T1088" i="1"/>
  <c r="T1084" i="1"/>
  <c r="T1080" i="1"/>
  <c r="T1076" i="1"/>
  <c r="T1072" i="1"/>
  <c r="T1068" i="1"/>
  <c r="T1064" i="1"/>
  <c r="T1060" i="1"/>
  <c r="T1056" i="1"/>
  <c r="T1052" i="1"/>
  <c r="T1048" i="1"/>
  <c r="T1044" i="1"/>
  <c r="T1040" i="1"/>
  <c r="T1036" i="1"/>
  <c r="T1032" i="1"/>
  <c r="T1028" i="1"/>
  <c r="T1024" i="1"/>
  <c r="T1020" i="1"/>
  <c r="T1016" i="1"/>
  <c r="T1012" i="1"/>
  <c r="T1008" i="1"/>
  <c r="T1004" i="1"/>
  <c r="T1000" i="1"/>
  <c r="T996" i="1"/>
  <c r="T992" i="1"/>
  <c r="T988" i="1"/>
  <c r="T984" i="1"/>
  <c r="T980" i="1"/>
  <c r="T976" i="1"/>
  <c r="T972" i="1"/>
  <c r="T968" i="1"/>
  <c r="T964" i="1"/>
  <c r="T960" i="1"/>
  <c r="T956" i="1"/>
  <c r="T952" i="1"/>
  <c r="T944" i="1"/>
  <c r="T936" i="1"/>
  <c r="T1463" i="1"/>
  <c r="T1459" i="1"/>
  <c r="T1455" i="1"/>
  <c r="T1451" i="1"/>
  <c r="T1447" i="1"/>
  <c r="T1443" i="1"/>
  <c r="T1439" i="1"/>
  <c r="T1435" i="1"/>
  <c r="T1431" i="1"/>
  <c r="T1427" i="1"/>
  <c r="T1423" i="1"/>
  <c r="T1419" i="1"/>
  <c r="T1415" i="1"/>
  <c r="T1411" i="1"/>
  <c r="T1407" i="1"/>
  <c r="T1403" i="1"/>
  <c r="T1399" i="1"/>
  <c r="T1395" i="1"/>
  <c r="T1391" i="1"/>
  <c r="T1387" i="1"/>
  <c r="T1383" i="1"/>
  <c r="T1379" i="1"/>
  <c r="T1375" i="1"/>
  <c r="T1371" i="1"/>
  <c r="T1367" i="1"/>
  <c r="T1363" i="1"/>
  <c r="T1359" i="1"/>
  <c r="T1355" i="1"/>
  <c r="T1351" i="1"/>
  <c r="T1347" i="1"/>
  <c r="T1343" i="1"/>
  <c r="T1339" i="1"/>
  <c r="T1335" i="1"/>
  <c r="T1331" i="1"/>
  <c r="T1327" i="1"/>
  <c r="T1323" i="1"/>
  <c r="T1319" i="1"/>
  <c r="T1315" i="1"/>
  <c r="T1311" i="1"/>
  <c r="T1307" i="1"/>
  <c r="T1303" i="1"/>
  <c r="T1299" i="1"/>
  <c r="T1295" i="1"/>
  <c r="T1291" i="1"/>
  <c r="T1287" i="1"/>
  <c r="T1283" i="1"/>
  <c r="T1279" i="1"/>
  <c r="T1275" i="1"/>
  <c r="T1271" i="1"/>
  <c r="T1267" i="1"/>
  <c r="T1263" i="1"/>
  <c r="T1259" i="1"/>
  <c r="T1255" i="1"/>
  <c r="T1251" i="1"/>
  <c r="T1247" i="1"/>
  <c r="T1243" i="1"/>
  <c r="T1239" i="1"/>
  <c r="T1235" i="1"/>
  <c r="T1231" i="1"/>
  <c r="T1227" i="1"/>
  <c r="T1223" i="1"/>
  <c r="T1219" i="1"/>
  <c r="T1215" i="1"/>
  <c r="T1211" i="1"/>
  <c r="T1207" i="1"/>
  <c r="T1203" i="1"/>
  <c r="T1199" i="1"/>
  <c r="T1195" i="1"/>
  <c r="T1191" i="1"/>
  <c r="T1187" i="1"/>
  <c r="T1183" i="1"/>
  <c r="T1179" i="1"/>
  <c r="T1175" i="1"/>
  <c r="T1171" i="1"/>
  <c r="T1167" i="1"/>
  <c r="T1163" i="1"/>
  <c r="T1159" i="1"/>
  <c r="T1155" i="1"/>
  <c r="T1151" i="1"/>
  <c r="T1147" i="1"/>
  <c r="T1143" i="1"/>
  <c r="T1139" i="1"/>
  <c r="T1135" i="1"/>
  <c r="T1131" i="1"/>
  <c r="T1127" i="1"/>
  <c r="T1123" i="1"/>
  <c r="T1119" i="1"/>
  <c r="T1115" i="1"/>
  <c r="T1111" i="1"/>
  <c r="T1107" i="1"/>
  <c r="T1103" i="1"/>
  <c r="T1099" i="1"/>
  <c r="T1095" i="1"/>
  <c r="T1091" i="1"/>
  <c r="T1087" i="1"/>
  <c r="T1083" i="1"/>
  <c r="T1079" i="1"/>
  <c r="T1075" i="1"/>
  <c r="T1071" i="1"/>
  <c r="T1067" i="1"/>
  <c r="T1063" i="1"/>
  <c r="T1059" i="1"/>
  <c r="T1055" i="1"/>
  <c r="T1051" i="1"/>
  <c r="T1047" i="1"/>
  <c r="T1043" i="1"/>
  <c r="T1039" i="1"/>
  <c r="T1035" i="1"/>
  <c r="T1031" i="1"/>
  <c r="T1027" i="1"/>
  <c r="T1023" i="1"/>
  <c r="T1019" i="1"/>
  <c r="T1015" i="1"/>
  <c r="T1011" i="1"/>
  <c r="T1007" i="1"/>
  <c r="T1003" i="1"/>
  <c r="T999" i="1"/>
  <c r="T995" i="1"/>
  <c r="T991" i="1"/>
  <c r="T987" i="1"/>
  <c r="T983" i="1"/>
  <c r="T979" i="1"/>
  <c r="T975" i="1"/>
  <c r="T971" i="1"/>
  <c r="T967" i="1"/>
  <c r="T963" i="1"/>
  <c r="T959" i="1"/>
  <c r="T955" i="1"/>
  <c r="T951" i="1"/>
  <c r="T943" i="1"/>
  <c r="T935" i="1"/>
  <c r="T1466" i="1"/>
  <c r="T1462" i="1"/>
  <c r="T1458" i="1"/>
  <c r="T1454" i="1"/>
  <c r="T1450" i="1"/>
  <c r="T1446" i="1"/>
  <c r="T1442" i="1"/>
  <c r="T1438" i="1"/>
  <c r="T1434" i="1"/>
  <c r="T1430" i="1"/>
  <c r="T1426" i="1"/>
  <c r="T1422" i="1"/>
  <c r="T1418" i="1"/>
  <c r="T1414" i="1"/>
  <c r="T1410" i="1"/>
  <c r="T1406" i="1"/>
  <c r="T1402" i="1"/>
  <c r="T1398" i="1"/>
  <c r="T1394" i="1"/>
  <c r="T1390" i="1"/>
  <c r="T1386" i="1"/>
  <c r="T1382" i="1"/>
  <c r="T1378" i="1"/>
  <c r="T1374" i="1"/>
  <c r="T1370" i="1"/>
  <c r="T1366" i="1"/>
  <c r="T1362" i="1"/>
  <c r="T1358" i="1"/>
  <c r="T1354" i="1"/>
  <c r="T1350" i="1"/>
  <c r="T1346" i="1"/>
  <c r="T1342" i="1"/>
  <c r="T1338" i="1"/>
  <c r="T1334" i="1"/>
  <c r="T1330" i="1"/>
  <c r="T1326" i="1"/>
  <c r="T1322" i="1"/>
  <c r="T1318" i="1"/>
  <c r="T1314" i="1"/>
  <c r="T1310" i="1"/>
  <c r="T1306" i="1"/>
  <c r="T1302" i="1"/>
  <c r="T1298" i="1"/>
  <c r="T1294" i="1"/>
  <c r="T1290" i="1"/>
  <c r="T1286" i="1"/>
  <c r="T1282" i="1"/>
  <c r="T1278" i="1"/>
  <c r="T1274" i="1"/>
  <c r="T1270" i="1"/>
  <c r="T1266" i="1"/>
  <c r="T1262" i="1"/>
  <c r="T1258" i="1"/>
  <c r="T1254" i="1"/>
  <c r="T1250" i="1"/>
  <c r="T1246" i="1"/>
  <c r="T1242" i="1"/>
  <c r="T1238" i="1"/>
  <c r="T1234" i="1"/>
  <c r="T1230" i="1"/>
  <c r="T1226" i="1"/>
  <c r="T1222" i="1"/>
  <c r="T1218" i="1"/>
  <c r="T1214" i="1"/>
  <c r="T1210" i="1"/>
  <c r="T1206" i="1"/>
  <c r="T1202" i="1"/>
  <c r="T1198" i="1"/>
  <c r="T1194" i="1"/>
  <c r="T1190" i="1"/>
  <c r="T1186" i="1"/>
  <c r="T1182" i="1"/>
  <c r="T1178" i="1"/>
  <c r="T1174" i="1"/>
  <c r="T1170" i="1"/>
  <c r="T1166" i="1"/>
  <c r="T1162" i="1"/>
  <c r="T1158" i="1"/>
  <c r="T1154" i="1"/>
  <c r="T1150" i="1"/>
  <c r="T1146" i="1"/>
  <c r="T1142" i="1"/>
  <c r="T1138" i="1"/>
  <c r="T1134" i="1"/>
  <c r="T1130" i="1"/>
  <c r="T1126" i="1"/>
  <c r="T1122" i="1"/>
  <c r="T1118" i="1"/>
  <c r="T1114" i="1"/>
  <c r="T1110" i="1"/>
  <c r="T1106" i="1"/>
  <c r="T1102" i="1"/>
  <c r="T1098" i="1"/>
  <c r="T1094" i="1"/>
  <c r="T1090" i="1"/>
  <c r="T1086" i="1"/>
  <c r="T1082" i="1"/>
  <c r="T1078" i="1"/>
  <c r="T1074" i="1"/>
  <c r="T1070" i="1"/>
  <c r="T1066" i="1"/>
  <c r="T1062" i="1"/>
  <c r="T1058" i="1"/>
  <c r="T1054" i="1"/>
  <c r="T1050" i="1"/>
  <c r="T1046" i="1"/>
  <c r="T1042" i="1"/>
  <c r="T1038" i="1"/>
  <c r="T1034" i="1"/>
  <c r="T1030" i="1"/>
  <c r="T1026" i="1"/>
  <c r="T1022" i="1"/>
  <c r="T1018" i="1"/>
  <c r="T1014" i="1"/>
  <c r="T1010" i="1"/>
  <c r="T1006" i="1"/>
  <c r="T1002" i="1"/>
  <c r="T998" i="1"/>
  <c r="T994" i="1"/>
  <c r="T990" i="1"/>
  <c r="T986" i="1"/>
  <c r="T982" i="1"/>
  <c r="T978" i="1"/>
  <c r="T974" i="1"/>
  <c r="T970" i="1"/>
  <c r="T966" i="1"/>
  <c r="T962" i="1"/>
  <c r="T958" i="1"/>
  <c r="T954" i="1"/>
  <c r="T948" i="1"/>
  <c r="T940" i="1"/>
  <c r="T18" i="1"/>
  <c r="T22" i="1"/>
  <c r="T26" i="1"/>
  <c r="T30" i="1"/>
  <c r="T34" i="1"/>
  <c r="T38" i="1"/>
  <c r="T42" i="1"/>
  <c r="T46" i="1"/>
  <c r="T50" i="1"/>
  <c r="T54" i="1"/>
  <c r="T58" i="1"/>
  <c r="T62" i="1"/>
  <c r="T66" i="1"/>
  <c r="T70" i="1"/>
  <c r="T74" i="1"/>
  <c r="T78" i="1"/>
  <c r="T82" i="1"/>
  <c r="T86" i="1"/>
  <c r="T90" i="1"/>
  <c r="T94" i="1"/>
  <c r="T98" i="1"/>
  <c r="T102" i="1"/>
  <c r="T106" i="1"/>
  <c r="T110" i="1"/>
  <c r="T114" i="1"/>
  <c r="T118" i="1"/>
  <c r="T122" i="1"/>
  <c r="T126" i="1"/>
  <c r="T130" i="1"/>
  <c r="T134" i="1"/>
  <c r="T138" i="1"/>
  <c r="T142" i="1"/>
  <c r="T146" i="1"/>
  <c r="T150" i="1"/>
  <c r="T154" i="1"/>
  <c r="T158" i="1"/>
  <c r="T162" i="1"/>
  <c r="T166" i="1"/>
  <c r="T170" i="1"/>
  <c r="T174" i="1"/>
  <c r="T178" i="1"/>
  <c r="T182" i="1"/>
  <c r="T186" i="1"/>
  <c r="T190" i="1"/>
  <c r="T194" i="1"/>
  <c r="T198" i="1"/>
  <c r="T202" i="1"/>
  <c r="T206" i="1"/>
  <c r="T210" i="1"/>
  <c r="T214" i="1"/>
  <c r="T218" i="1"/>
  <c r="T222" i="1"/>
  <c r="T226" i="1"/>
  <c r="T230" i="1"/>
  <c r="T234" i="1"/>
  <c r="T238" i="1"/>
  <c r="T242" i="1"/>
  <c r="T246" i="1"/>
  <c r="T250" i="1"/>
  <c r="T254" i="1"/>
  <c r="T258" i="1"/>
  <c r="T262" i="1"/>
  <c r="T266" i="1"/>
  <c r="T270" i="1"/>
  <c r="T274" i="1"/>
  <c r="T278" i="1"/>
  <c r="T282" i="1"/>
  <c r="T286" i="1"/>
  <c r="T290" i="1"/>
  <c r="T294" i="1"/>
  <c r="T298" i="1"/>
  <c r="T302" i="1"/>
  <c r="T306" i="1"/>
  <c r="T310" i="1"/>
  <c r="T314" i="1"/>
  <c r="T318" i="1"/>
  <c r="T322" i="1"/>
  <c r="T326" i="1"/>
  <c r="T330" i="1"/>
  <c r="T334" i="1"/>
  <c r="T338" i="1"/>
  <c r="T342" i="1"/>
  <c r="T346" i="1"/>
  <c r="T350" i="1"/>
  <c r="T354" i="1"/>
  <c r="T15" i="1"/>
  <c r="T19" i="1"/>
  <c r="T23" i="1"/>
  <c r="T27" i="1"/>
  <c r="T31" i="1"/>
  <c r="T35" i="1"/>
  <c r="T39" i="1"/>
  <c r="T43" i="1"/>
  <c r="T47" i="1"/>
  <c r="T51" i="1"/>
  <c r="T55" i="1"/>
  <c r="T59" i="1"/>
  <c r="T63" i="1"/>
  <c r="T67" i="1"/>
  <c r="T71" i="1"/>
  <c r="T75" i="1"/>
  <c r="T79" i="1"/>
  <c r="T83" i="1"/>
  <c r="T87" i="1"/>
  <c r="T91" i="1"/>
  <c r="T95" i="1"/>
  <c r="T99" i="1"/>
  <c r="T103" i="1"/>
  <c r="T107" i="1"/>
  <c r="T111" i="1"/>
  <c r="T115" i="1"/>
  <c r="T119" i="1"/>
  <c r="T123" i="1"/>
  <c r="T127" i="1"/>
  <c r="T131" i="1"/>
  <c r="T135" i="1"/>
  <c r="T139" i="1"/>
  <c r="T143" i="1"/>
  <c r="T147" i="1"/>
  <c r="T151" i="1"/>
  <c r="T155" i="1"/>
  <c r="T159" i="1"/>
  <c r="T163" i="1"/>
  <c r="T167" i="1"/>
  <c r="T171" i="1"/>
  <c r="T175" i="1"/>
  <c r="T179" i="1"/>
  <c r="T183" i="1"/>
  <c r="T187" i="1"/>
  <c r="T191" i="1"/>
  <c r="T195" i="1"/>
  <c r="T199" i="1"/>
  <c r="T203" i="1"/>
  <c r="T207" i="1"/>
  <c r="T211" i="1"/>
  <c r="T215" i="1"/>
  <c r="T219" i="1"/>
  <c r="T223" i="1"/>
  <c r="T227" i="1"/>
  <c r="T231" i="1"/>
  <c r="T235" i="1"/>
  <c r="T239" i="1"/>
  <c r="T243" i="1"/>
  <c r="T247" i="1"/>
  <c r="T251" i="1"/>
  <c r="T255" i="1"/>
  <c r="T259" i="1"/>
  <c r="T263" i="1"/>
  <c r="T267" i="1"/>
  <c r="T271" i="1"/>
  <c r="T275" i="1"/>
  <c r="T279" i="1"/>
  <c r="T283" i="1"/>
  <c r="T287" i="1"/>
  <c r="T291" i="1"/>
  <c r="T295" i="1"/>
  <c r="T299" i="1"/>
  <c r="T303" i="1"/>
  <c r="T307" i="1"/>
  <c r="T311" i="1"/>
  <c r="T315" i="1"/>
  <c r="T319" i="1"/>
  <c r="T323" i="1"/>
  <c r="T327" i="1"/>
  <c r="T331" i="1"/>
  <c r="T335" i="1"/>
  <c r="T339" i="1"/>
  <c r="T343" i="1"/>
  <c r="T347" i="1"/>
  <c r="T351" i="1"/>
  <c r="T16" i="1"/>
  <c r="T20" i="1"/>
  <c r="T24" i="1"/>
  <c r="T28" i="1"/>
  <c r="T32" i="1"/>
  <c r="T36" i="1"/>
  <c r="T40" i="1"/>
  <c r="T44" i="1"/>
  <c r="T48" i="1"/>
  <c r="T52" i="1"/>
  <c r="T56" i="1"/>
  <c r="T60" i="1"/>
  <c r="T64" i="1"/>
  <c r="T68" i="1"/>
  <c r="T72" i="1"/>
  <c r="T76" i="1"/>
  <c r="T80" i="1"/>
  <c r="T84" i="1"/>
  <c r="T88" i="1"/>
  <c r="T92" i="1"/>
  <c r="T96" i="1"/>
  <c r="T100" i="1"/>
  <c r="T104" i="1"/>
  <c r="T108" i="1"/>
  <c r="T112" i="1"/>
  <c r="T116" i="1"/>
  <c r="T120" i="1"/>
  <c r="T124" i="1"/>
  <c r="T128" i="1"/>
  <c r="T132" i="1"/>
  <c r="T136" i="1"/>
  <c r="T140" i="1"/>
  <c r="T144" i="1"/>
  <c r="T148" i="1"/>
  <c r="T152" i="1"/>
  <c r="T156" i="1"/>
  <c r="T160" i="1"/>
  <c r="T164" i="1"/>
  <c r="T168" i="1"/>
  <c r="T172" i="1"/>
  <c r="T176" i="1"/>
  <c r="T180" i="1"/>
  <c r="T184" i="1"/>
  <c r="T188" i="1"/>
  <c r="T192" i="1"/>
  <c r="T196" i="1"/>
  <c r="T200" i="1"/>
  <c r="T204" i="1"/>
  <c r="T208" i="1"/>
  <c r="T212" i="1"/>
  <c r="T216" i="1"/>
  <c r="T220" i="1"/>
  <c r="T224" i="1"/>
  <c r="T228" i="1"/>
  <c r="T232" i="1"/>
  <c r="T236" i="1"/>
  <c r="T240" i="1"/>
  <c r="T244" i="1"/>
  <c r="T248" i="1"/>
  <c r="T252" i="1"/>
  <c r="T256" i="1"/>
  <c r="T260" i="1"/>
  <c r="T264" i="1"/>
  <c r="T268" i="1"/>
  <c r="T272" i="1"/>
  <c r="T276" i="1"/>
  <c r="T280" i="1"/>
  <c r="T284" i="1"/>
  <c r="T288" i="1"/>
  <c r="T292" i="1"/>
  <c r="T296" i="1"/>
  <c r="T300" i="1"/>
  <c r="T304" i="1"/>
  <c r="T308" i="1"/>
  <c r="T312" i="1"/>
  <c r="T316" i="1"/>
  <c r="T320" i="1"/>
  <c r="T324" i="1"/>
  <c r="T328" i="1"/>
  <c r="T332" i="1"/>
  <c r="T336" i="1"/>
  <c r="T340" i="1"/>
  <c r="T344" i="1"/>
  <c r="T348" i="1"/>
  <c r="T352" i="1"/>
  <c r="T29" i="1"/>
  <c r="T45" i="1"/>
  <c r="T61" i="1"/>
  <c r="T77" i="1"/>
  <c r="T93" i="1"/>
  <c r="T109" i="1"/>
  <c r="T125" i="1"/>
  <c r="T141" i="1"/>
  <c r="T157" i="1"/>
  <c r="T173" i="1"/>
  <c r="T189" i="1"/>
  <c r="T205" i="1"/>
  <c r="T221" i="1"/>
  <c r="T237" i="1"/>
  <c r="T253" i="1"/>
  <c r="T269" i="1"/>
  <c r="T285" i="1"/>
  <c r="T301" i="1"/>
  <c r="T317" i="1"/>
  <c r="T333" i="1"/>
  <c r="T349" i="1"/>
  <c r="T357" i="1"/>
  <c r="T361" i="1"/>
  <c r="T365" i="1"/>
  <c r="T369" i="1"/>
  <c r="T373" i="1"/>
  <c r="T377" i="1"/>
  <c r="T381" i="1"/>
  <c r="T385" i="1"/>
  <c r="T389" i="1"/>
  <c r="T393" i="1"/>
  <c r="T397" i="1"/>
  <c r="T401" i="1"/>
  <c r="T405" i="1"/>
  <c r="T409" i="1"/>
  <c r="T413" i="1"/>
  <c r="T417" i="1"/>
  <c r="T421" i="1"/>
  <c r="T425" i="1"/>
  <c r="T429" i="1"/>
  <c r="T433" i="1"/>
  <c r="T437" i="1"/>
  <c r="T441" i="1"/>
  <c r="T445" i="1"/>
  <c r="T449" i="1"/>
  <c r="T453" i="1"/>
  <c r="T457" i="1"/>
  <c r="T461" i="1"/>
  <c r="T465" i="1"/>
  <c r="T469" i="1"/>
  <c r="T473" i="1"/>
  <c r="T477" i="1"/>
  <c r="T481" i="1"/>
  <c r="T485" i="1"/>
  <c r="T489" i="1"/>
  <c r="T493" i="1"/>
  <c r="T497" i="1"/>
  <c r="T501" i="1"/>
  <c r="T505" i="1"/>
  <c r="T509" i="1"/>
  <c r="T513" i="1"/>
  <c r="T517" i="1"/>
  <c r="T521" i="1"/>
  <c r="T525" i="1"/>
  <c r="T529" i="1"/>
  <c r="T533" i="1"/>
  <c r="T537" i="1"/>
  <c r="T541" i="1"/>
  <c r="T545" i="1"/>
  <c r="T549" i="1"/>
  <c r="T553" i="1"/>
  <c r="T557" i="1"/>
  <c r="T561" i="1"/>
  <c r="T565" i="1"/>
  <c r="T569" i="1"/>
  <c r="T573" i="1"/>
  <c r="T577" i="1"/>
  <c r="T581" i="1"/>
  <c r="T585" i="1"/>
  <c r="T589" i="1"/>
  <c r="T593" i="1"/>
  <c r="T597" i="1"/>
  <c r="T601" i="1"/>
  <c r="T605" i="1"/>
  <c r="T609" i="1"/>
  <c r="T17" i="1"/>
  <c r="T33" i="1"/>
  <c r="T49" i="1"/>
  <c r="T65" i="1"/>
  <c r="T81" i="1"/>
  <c r="T97" i="1"/>
  <c r="T113" i="1"/>
  <c r="T129" i="1"/>
  <c r="T145" i="1"/>
  <c r="T161" i="1"/>
  <c r="T177" i="1"/>
  <c r="T193" i="1"/>
  <c r="T209" i="1"/>
  <c r="T225" i="1"/>
  <c r="T241" i="1"/>
  <c r="T257" i="1"/>
  <c r="T273" i="1"/>
  <c r="T289" i="1"/>
  <c r="T305" i="1"/>
  <c r="T321" i="1"/>
  <c r="T337" i="1"/>
  <c r="T353" i="1"/>
  <c r="T358" i="1"/>
  <c r="T362" i="1"/>
  <c r="T366" i="1"/>
  <c r="T370" i="1"/>
  <c r="T374" i="1"/>
  <c r="T378" i="1"/>
  <c r="T382" i="1"/>
  <c r="T386" i="1"/>
  <c r="T390" i="1"/>
  <c r="T394" i="1"/>
  <c r="T398" i="1"/>
  <c r="T402" i="1"/>
  <c r="T406" i="1"/>
  <c r="T410" i="1"/>
  <c r="T414" i="1"/>
  <c r="T418" i="1"/>
  <c r="T422" i="1"/>
  <c r="T426" i="1"/>
  <c r="T430" i="1"/>
  <c r="T434" i="1"/>
  <c r="T438" i="1"/>
  <c r="T442" i="1"/>
  <c r="T446" i="1"/>
  <c r="T450" i="1"/>
  <c r="T454" i="1"/>
  <c r="T458" i="1"/>
  <c r="T462" i="1"/>
  <c r="T466" i="1"/>
  <c r="T470" i="1"/>
  <c r="T474" i="1"/>
  <c r="T478" i="1"/>
  <c r="T482" i="1"/>
  <c r="T486" i="1"/>
  <c r="T490" i="1"/>
  <c r="T494" i="1"/>
  <c r="T498" i="1"/>
  <c r="T502" i="1"/>
  <c r="T506" i="1"/>
  <c r="T510" i="1"/>
  <c r="T514" i="1"/>
  <c r="T518" i="1"/>
  <c r="T522" i="1"/>
  <c r="T526" i="1"/>
  <c r="T530" i="1"/>
  <c r="T534" i="1"/>
  <c r="T538" i="1"/>
  <c r="T542" i="1"/>
  <c r="T546" i="1"/>
  <c r="T550" i="1"/>
  <c r="T554" i="1"/>
  <c r="T558" i="1"/>
  <c r="T562" i="1"/>
  <c r="T566" i="1"/>
  <c r="T570" i="1"/>
  <c r="T574" i="1"/>
  <c r="T578" i="1"/>
  <c r="T582" i="1"/>
  <c r="T586" i="1"/>
  <c r="T590" i="1"/>
  <c r="T594" i="1"/>
  <c r="T598" i="1"/>
  <c r="T602" i="1"/>
  <c r="T606" i="1"/>
  <c r="T21" i="1"/>
  <c r="T37" i="1"/>
  <c r="T53" i="1"/>
  <c r="T69" i="1"/>
  <c r="T85" i="1"/>
  <c r="T101" i="1"/>
  <c r="T117" i="1"/>
  <c r="T133" i="1"/>
  <c r="T149" i="1"/>
  <c r="T165" i="1"/>
  <c r="T181" i="1"/>
  <c r="T197" i="1"/>
  <c r="T213" i="1"/>
  <c r="T229" i="1"/>
  <c r="T245" i="1"/>
  <c r="T261" i="1"/>
  <c r="T277" i="1"/>
  <c r="T293" i="1"/>
  <c r="T309" i="1"/>
  <c r="T325" i="1"/>
  <c r="T341" i="1"/>
  <c r="T355" i="1"/>
  <c r="T359" i="1"/>
  <c r="T363" i="1"/>
  <c r="T367" i="1"/>
  <c r="T371" i="1"/>
  <c r="T375" i="1"/>
  <c r="T379" i="1"/>
  <c r="T383" i="1"/>
  <c r="T387" i="1"/>
  <c r="T391" i="1"/>
  <c r="T395" i="1"/>
  <c r="T399" i="1"/>
  <c r="T403" i="1"/>
  <c r="T407" i="1"/>
  <c r="T411" i="1"/>
  <c r="T415" i="1"/>
  <c r="T419" i="1"/>
  <c r="T423" i="1"/>
  <c r="T427" i="1"/>
  <c r="T431" i="1"/>
  <c r="T435" i="1"/>
  <c r="T439" i="1"/>
  <c r="T443" i="1"/>
  <c r="T447" i="1"/>
  <c r="T451" i="1"/>
  <c r="T455" i="1"/>
  <c r="T459" i="1"/>
  <c r="T463" i="1"/>
  <c r="T467" i="1"/>
  <c r="T471" i="1"/>
  <c r="T475" i="1"/>
  <c r="T479" i="1"/>
  <c r="T483" i="1"/>
  <c r="T487" i="1"/>
  <c r="T491" i="1"/>
  <c r="T495" i="1"/>
  <c r="T499" i="1"/>
  <c r="T503" i="1"/>
  <c r="T507" i="1"/>
  <c r="T511" i="1"/>
  <c r="T515" i="1"/>
  <c r="T519" i="1"/>
  <c r="T523" i="1"/>
  <c r="T527" i="1"/>
  <c r="T531" i="1"/>
  <c r="T535" i="1"/>
  <c r="T539" i="1"/>
  <c r="T543" i="1"/>
  <c r="T547" i="1"/>
  <c r="T551" i="1"/>
  <c r="T555" i="1"/>
  <c r="T559" i="1"/>
  <c r="T563" i="1"/>
  <c r="T567" i="1"/>
  <c r="T571" i="1"/>
  <c r="T575" i="1"/>
  <c r="T579" i="1"/>
  <c r="T583" i="1"/>
  <c r="T587" i="1"/>
  <c r="T591" i="1"/>
  <c r="T595" i="1"/>
  <c r="T599" i="1"/>
  <c r="T603" i="1"/>
  <c r="T607" i="1"/>
  <c r="T611" i="1"/>
  <c r="T615" i="1"/>
  <c r="T25" i="1"/>
  <c r="T41" i="1"/>
  <c r="T57" i="1"/>
  <c r="T73" i="1"/>
  <c r="T89" i="1"/>
  <c r="T105" i="1"/>
  <c r="T121" i="1"/>
  <c r="T137" i="1"/>
  <c r="T153" i="1"/>
  <c r="T169" i="1"/>
  <c r="T185" i="1"/>
  <c r="T201" i="1"/>
  <c r="T217" i="1"/>
  <c r="T233" i="1"/>
  <c r="T249" i="1"/>
  <c r="T265" i="1"/>
  <c r="T281" i="1"/>
  <c r="T297" i="1"/>
  <c r="T313" i="1"/>
  <c r="T329" i="1"/>
  <c r="T345" i="1"/>
  <c r="T356" i="1"/>
  <c r="T360" i="1"/>
  <c r="T364" i="1"/>
  <c r="T368" i="1"/>
  <c r="T372" i="1"/>
  <c r="T376" i="1"/>
  <c r="T380" i="1"/>
  <c r="T384" i="1"/>
  <c r="T388" i="1"/>
  <c r="T392" i="1"/>
  <c r="T396" i="1"/>
  <c r="T400" i="1"/>
  <c r="T404" i="1"/>
  <c r="T408" i="1"/>
  <c r="T412" i="1"/>
  <c r="T416" i="1"/>
  <c r="T420" i="1"/>
  <c r="T424" i="1"/>
  <c r="T428" i="1"/>
  <c r="T432" i="1"/>
  <c r="T436" i="1"/>
  <c r="T440" i="1"/>
  <c r="T444" i="1"/>
  <c r="T448" i="1"/>
  <c r="T452" i="1"/>
  <c r="T456" i="1"/>
  <c r="T460" i="1"/>
  <c r="T464" i="1"/>
  <c r="T468" i="1"/>
  <c r="T472" i="1"/>
  <c r="T476" i="1"/>
  <c r="T480" i="1"/>
  <c r="T484" i="1"/>
  <c r="T488" i="1"/>
  <c r="T492" i="1"/>
  <c r="T496" i="1"/>
  <c r="T500" i="1"/>
  <c r="T504" i="1"/>
  <c r="T508" i="1"/>
  <c r="T512" i="1"/>
  <c r="T516" i="1"/>
  <c r="T520" i="1"/>
  <c r="T524" i="1"/>
  <c r="T528" i="1"/>
  <c r="T532" i="1"/>
  <c r="T536" i="1"/>
  <c r="T540" i="1"/>
  <c r="T544" i="1"/>
  <c r="T548" i="1"/>
  <c r="T552" i="1"/>
  <c r="T556" i="1"/>
  <c r="T560" i="1"/>
  <c r="T564" i="1"/>
  <c r="T568" i="1"/>
  <c r="T572" i="1"/>
  <c r="T576" i="1"/>
  <c r="T580" i="1"/>
  <c r="T584" i="1"/>
  <c r="T588" i="1"/>
  <c r="T592" i="1"/>
  <c r="T596" i="1"/>
  <c r="T600" i="1"/>
  <c r="T604" i="1"/>
  <c r="T608" i="1"/>
  <c r="T614" i="1"/>
  <c r="T619" i="1"/>
  <c r="T623" i="1"/>
  <c r="T627" i="1"/>
  <c r="T631" i="1"/>
  <c r="T635" i="1"/>
  <c r="T639" i="1"/>
  <c r="T643" i="1"/>
  <c r="T647" i="1"/>
  <c r="T651" i="1"/>
  <c r="T655" i="1"/>
  <c r="T659" i="1"/>
  <c r="T663" i="1"/>
  <c r="T667" i="1"/>
  <c r="T671" i="1"/>
  <c r="T675" i="1"/>
  <c r="T679" i="1"/>
  <c r="T683" i="1"/>
  <c r="T687" i="1"/>
  <c r="T691" i="1"/>
  <c r="T695" i="1"/>
  <c r="T699" i="1"/>
  <c r="T703" i="1"/>
  <c r="T707" i="1"/>
  <c r="T711" i="1"/>
  <c r="T715" i="1"/>
  <c r="T719" i="1"/>
  <c r="T723" i="1"/>
  <c r="T727" i="1"/>
  <c r="T731" i="1"/>
  <c r="T735" i="1"/>
  <c r="T739" i="1"/>
  <c r="T743" i="1"/>
  <c r="T747" i="1"/>
  <c r="T751" i="1"/>
  <c r="T755" i="1"/>
  <c r="T759" i="1"/>
  <c r="T763" i="1"/>
  <c r="T767" i="1"/>
  <c r="T771" i="1"/>
  <c r="T775" i="1"/>
  <c r="T779" i="1"/>
  <c r="T783" i="1"/>
  <c r="T787" i="1"/>
  <c r="T791" i="1"/>
  <c r="T795" i="1"/>
  <c r="T799" i="1"/>
  <c r="T803" i="1"/>
  <c r="T807" i="1"/>
  <c r="T811" i="1"/>
  <c r="T815" i="1"/>
  <c r="T819" i="1"/>
  <c r="T823" i="1"/>
  <c r="T827" i="1"/>
  <c r="T831" i="1"/>
  <c r="T835" i="1"/>
  <c r="T839" i="1"/>
  <c r="T843" i="1"/>
  <c r="T847" i="1"/>
  <c r="T851" i="1"/>
  <c r="T855" i="1"/>
  <c r="T859" i="1"/>
  <c r="T863" i="1"/>
  <c r="T867" i="1"/>
  <c r="T871" i="1"/>
  <c r="T875" i="1"/>
  <c r="T879" i="1"/>
  <c r="T883" i="1"/>
  <c r="T887" i="1"/>
  <c r="T891" i="1"/>
  <c r="T895" i="1"/>
  <c r="T899" i="1"/>
  <c r="T903" i="1"/>
  <c r="T907" i="1"/>
  <c r="T911" i="1"/>
  <c r="T915" i="1"/>
  <c r="T919" i="1"/>
  <c r="T923" i="1"/>
  <c r="T927" i="1"/>
  <c r="T931" i="1"/>
  <c r="T610" i="1"/>
  <c r="T616" i="1"/>
  <c r="T620" i="1"/>
  <c r="T624" i="1"/>
  <c r="T628" i="1"/>
  <c r="T632" i="1"/>
  <c r="T636" i="1"/>
  <c r="T640" i="1"/>
  <c r="T644" i="1"/>
  <c r="T648" i="1"/>
  <c r="T652" i="1"/>
  <c r="T656" i="1"/>
  <c r="T660" i="1"/>
  <c r="T664" i="1"/>
  <c r="T668" i="1"/>
  <c r="T672" i="1"/>
  <c r="T676" i="1"/>
  <c r="T680" i="1"/>
  <c r="T684" i="1"/>
  <c r="T688" i="1"/>
  <c r="T692" i="1"/>
  <c r="T696" i="1"/>
  <c r="T700" i="1"/>
  <c r="T704" i="1"/>
  <c r="T708" i="1"/>
  <c r="T712" i="1"/>
  <c r="T716" i="1"/>
  <c r="T720" i="1"/>
  <c r="T724" i="1"/>
  <c r="T728" i="1"/>
  <c r="T732" i="1"/>
  <c r="T736" i="1"/>
  <c r="T740" i="1"/>
  <c r="T744" i="1"/>
  <c r="T748" i="1"/>
  <c r="T752" i="1"/>
  <c r="T756" i="1"/>
  <c r="T760" i="1"/>
  <c r="T764" i="1"/>
  <c r="T768" i="1"/>
  <c r="T772" i="1"/>
  <c r="T776" i="1"/>
  <c r="T780" i="1"/>
  <c r="T784" i="1"/>
  <c r="T788" i="1"/>
  <c r="T792" i="1"/>
  <c r="T796" i="1"/>
  <c r="T800" i="1"/>
  <c r="T804" i="1"/>
  <c r="T808" i="1"/>
  <c r="T812" i="1"/>
  <c r="T816" i="1"/>
  <c r="T820" i="1"/>
  <c r="T824" i="1"/>
  <c r="T828" i="1"/>
  <c r="T832" i="1"/>
  <c r="T836" i="1"/>
  <c r="T840" i="1"/>
  <c r="T844" i="1"/>
  <c r="T848" i="1"/>
  <c r="T852" i="1"/>
  <c r="T856" i="1"/>
  <c r="T860" i="1"/>
  <c r="T864" i="1"/>
  <c r="T868" i="1"/>
  <c r="T872" i="1"/>
  <c r="T876" i="1"/>
  <c r="T880" i="1"/>
  <c r="T884" i="1"/>
  <c r="T888" i="1"/>
  <c r="T892" i="1"/>
  <c r="T896" i="1"/>
  <c r="T900" i="1"/>
  <c r="T904" i="1"/>
  <c r="T908" i="1"/>
  <c r="T912" i="1"/>
  <c r="T916" i="1"/>
  <c r="T920" i="1"/>
  <c r="T924" i="1"/>
  <c r="T928" i="1"/>
  <c r="T612" i="1"/>
  <c r="T617" i="1"/>
  <c r="T621" i="1"/>
  <c r="T625" i="1"/>
  <c r="T629" i="1"/>
  <c r="T633" i="1"/>
  <c r="T637" i="1"/>
  <c r="T641" i="1"/>
  <c r="T645" i="1"/>
  <c r="T649" i="1"/>
  <c r="T653" i="1"/>
  <c r="T657" i="1"/>
  <c r="T661" i="1"/>
  <c r="T665" i="1"/>
  <c r="T669" i="1"/>
  <c r="T673" i="1"/>
  <c r="T677" i="1"/>
  <c r="T681" i="1"/>
  <c r="T685" i="1"/>
  <c r="T689" i="1"/>
  <c r="T693" i="1"/>
  <c r="T697" i="1"/>
  <c r="T701" i="1"/>
  <c r="T705" i="1"/>
  <c r="T709" i="1"/>
  <c r="T713" i="1"/>
  <c r="T717" i="1"/>
  <c r="T721" i="1"/>
  <c r="T725" i="1"/>
  <c r="T729" i="1"/>
  <c r="T733" i="1"/>
  <c r="T737" i="1"/>
  <c r="T741" i="1"/>
  <c r="T745" i="1"/>
  <c r="T749" i="1"/>
  <c r="T753" i="1"/>
  <c r="T757" i="1"/>
  <c r="T761" i="1"/>
  <c r="T765" i="1"/>
  <c r="T769" i="1"/>
  <c r="T773" i="1"/>
  <c r="T777" i="1"/>
  <c r="T781" i="1"/>
  <c r="T785" i="1"/>
  <c r="T789" i="1"/>
  <c r="T793" i="1"/>
  <c r="T797" i="1"/>
  <c r="T801" i="1"/>
  <c r="T805" i="1"/>
  <c r="T809" i="1"/>
  <c r="T813" i="1"/>
  <c r="T817" i="1"/>
  <c r="T821" i="1"/>
  <c r="T825" i="1"/>
  <c r="T829" i="1"/>
  <c r="T833" i="1"/>
  <c r="T837" i="1"/>
  <c r="T841" i="1"/>
  <c r="T845" i="1"/>
  <c r="T849" i="1"/>
  <c r="T853" i="1"/>
  <c r="T857" i="1"/>
  <c r="T861" i="1"/>
  <c r="T865" i="1"/>
  <c r="T869" i="1"/>
  <c r="T873" i="1"/>
  <c r="T877" i="1"/>
  <c r="T881" i="1"/>
  <c r="T885" i="1"/>
  <c r="T889" i="1"/>
  <c r="T893" i="1"/>
  <c r="T897" i="1"/>
  <c r="T901" i="1"/>
  <c r="T905" i="1"/>
  <c r="T909" i="1"/>
  <c r="T913" i="1"/>
  <c r="T917" i="1"/>
  <c r="T921" i="1"/>
  <c r="T925" i="1"/>
  <c r="T929" i="1"/>
  <c r="T933" i="1"/>
  <c r="T937" i="1"/>
  <c r="T941" i="1"/>
  <c r="T945" i="1"/>
  <c r="T949" i="1"/>
  <c r="T613" i="1"/>
  <c r="T618" i="1"/>
  <c r="T622" i="1"/>
  <c r="T626" i="1"/>
  <c r="T630" i="1"/>
  <c r="T634" i="1"/>
  <c r="T638" i="1"/>
  <c r="T642" i="1"/>
  <c r="T646" i="1"/>
  <c r="T650" i="1"/>
  <c r="T654" i="1"/>
  <c r="T658" i="1"/>
  <c r="T662" i="1"/>
  <c r="T666" i="1"/>
  <c r="T670" i="1"/>
  <c r="T674" i="1"/>
  <c r="T678" i="1"/>
  <c r="T682" i="1"/>
  <c r="T686" i="1"/>
  <c r="T690" i="1"/>
  <c r="T694" i="1"/>
  <c r="T698" i="1"/>
  <c r="T702" i="1"/>
  <c r="T706" i="1"/>
  <c r="T710" i="1"/>
  <c r="T714" i="1"/>
  <c r="T718" i="1"/>
  <c r="T722" i="1"/>
  <c r="T726" i="1"/>
  <c r="T730" i="1"/>
  <c r="T734" i="1"/>
  <c r="T738" i="1"/>
  <c r="T742" i="1"/>
  <c r="T746" i="1"/>
  <c r="T750" i="1"/>
  <c r="T754" i="1"/>
  <c r="T758" i="1"/>
  <c r="T762" i="1"/>
  <c r="T766" i="1"/>
  <c r="T770" i="1"/>
  <c r="T774" i="1"/>
  <c r="T778" i="1"/>
  <c r="T782" i="1"/>
  <c r="T786" i="1"/>
  <c r="T790" i="1"/>
  <c r="T794" i="1"/>
  <c r="T798" i="1"/>
  <c r="T802" i="1"/>
  <c r="T806" i="1"/>
  <c r="T810" i="1"/>
  <c r="T814" i="1"/>
  <c r="T818" i="1"/>
  <c r="T822" i="1"/>
  <c r="T826" i="1"/>
  <c r="T830" i="1"/>
  <c r="T834" i="1"/>
  <c r="T838" i="1"/>
  <c r="T842" i="1"/>
  <c r="T846" i="1"/>
  <c r="T850" i="1"/>
  <c r="T854" i="1"/>
  <c r="T858" i="1"/>
  <c r="T862" i="1"/>
  <c r="T866" i="1"/>
  <c r="T870" i="1"/>
  <c r="T874" i="1"/>
  <c r="T878" i="1"/>
  <c r="T882" i="1"/>
  <c r="T886" i="1"/>
  <c r="T890" i="1"/>
  <c r="T894" i="1"/>
  <c r="T898" i="1"/>
  <c r="T902" i="1"/>
  <c r="T906" i="1"/>
  <c r="T910" i="1"/>
  <c r="T914" i="1"/>
  <c r="T918" i="1"/>
  <c r="T922" i="1"/>
  <c r="T926" i="1"/>
  <c r="T930" i="1"/>
  <c r="T934" i="1"/>
  <c r="T938" i="1"/>
  <c r="T942" i="1"/>
  <c r="T946" i="1"/>
  <c r="T950" i="1"/>
  <c r="T1465" i="1"/>
  <c r="T1461" i="1"/>
  <c r="T1457" i="1"/>
  <c r="T1453" i="1"/>
  <c r="T1449" i="1"/>
  <c r="T1445" i="1"/>
  <c r="T1441" i="1"/>
  <c r="T1437" i="1"/>
  <c r="T1433" i="1"/>
  <c r="T1429" i="1"/>
  <c r="T1425" i="1"/>
  <c r="T1421" i="1"/>
  <c r="T1417" i="1"/>
  <c r="T1413" i="1"/>
  <c r="T1409" i="1"/>
  <c r="T1405" i="1"/>
  <c r="T1401" i="1"/>
  <c r="T1397" i="1"/>
  <c r="T1393" i="1"/>
  <c r="T1389" i="1"/>
  <c r="T1385" i="1"/>
  <c r="T1381" i="1"/>
  <c r="T1377" i="1"/>
  <c r="T1373" i="1"/>
  <c r="T1369" i="1"/>
  <c r="T1365" i="1"/>
  <c r="T1361" i="1"/>
  <c r="T1357" i="1"/>
  <c r="T1353" i="1"/>
  <c r="T1349" i="1"/>
  <c r="T1345" i="1"/>
  <c r="T1341" i="1"/>
  <c r="T1337" i="1"/>
  <c r="T1333" i="1"/>
  <c r="T1329" i="1"/>
  <c r="T1325" i="1"/>
  <c r="T1321" i="1"/>
  <c r="T1317" i="1"/>
  <c r="T1313" i="1"/>
  <c r="T1309" i="1"/>
  <c r="T1305" i="1"/>
  <c r="T1301" i="1"/>
  <c r="T1297" i="1"/>
  <c r="T1293" i="1"/>
  <c r="T1289" i="1"/>
  <c r="T1285" i="1"/>
  <c r="T1281" i="1"/>
  <c r="T1277" i="1"/>
  <c r="T1273" i="1"/>
  <c r="T1269" i="1"/>
  <c r="T1265" i="1"/>
  <c r="T1261" i="1"/>
  <c r="T1257" i="1"/>
  <c r="T1253" i="1"/>
  <c r="T1249" i="1"/>
  <c r="T1245" i="1"/>
  <c r="T1241" i="1"/>
  <c r="T1237" i="1"/>
  <c r="T1233" i="1"/>
  <c r="T1229" i="1"/>
  <c r="T1225" i="1"/>
  <c r="T1221" i="1"/>
  <c r="T1217" i="1"/>
  <c r="T1213" i="1"/>
  <c r="T1209" i="1"/>
  <c r="T1205" i="1"/>
  <c r="T1201" i="1"/>
  <c r="T1197" i="1"/>
  <c r="T1193" i="1"/>
  <c r="T1189" i="1"/>
  <c r="T1185" i="1"/>
  <c r="T1181" i="1"/>
  <c r="T1177" i="1"/>
  <c r="T1173" i="1"/>
  <c r="T1169" i="1"/>
  <c r="T1165" i="1"/>
  <c r="T1161" i="1"/>
  <c r="T1157" i="1"/>
  <c r="T1153" i="1"/>
  <c r="T1149" i="1"/>
  <c r="T1145" i="1"/>
  <c r="T1141" i="1"/>
  <c r="T1137" i="1"/>
  <c r="T1133" i="1"/>
  <c r="T1129" i="1"/>
  <c r="T1125" i="1"/>
  <c r="T1121" i="1"/>
  <c r="T1117" i="1"/>
  <c r="T1113" i="1"/>
  <c r="T1109" i="1"/>
  <c r="T1105" i="1"/>
  <c r="T1101" i="1"/>
  <c r="T1097" i="1"/>
  <c r="T1093" i="1"/>
  <c r="T1089" i="1"/>
  <c r="T1085" i="1"/>
  <c r="T1081" i="1"/>
  <c r="T1077" i="1"/>
  <c r="T1073" i="1"/>
  <c r="T1069" i="1"/>
  <c r="T1065" i="1"/>
  <c r="T1061" i="1"/>
  <c r="T1057" i="1"/>
  <c r="T1053" i="1"/>
  <c r="T1049" i="1"/>
  <c r="T1045" i="1"/>
  <c r="T1041" i="1"/>
  <c r="T1037" i="1"/>
  <c r="T1033" i="1"/>
  <c r="T1029" i="1"/>
  <c r="T1025" i="1"/>
  <c r="T1021" i="1"/>
  <c r="T1017" i="1"/>
  <c r="T1013" i="1"/>
  <c r="T1009" i="1"/>
  <c r="T1005" i="1"/>
  <c r="T1001" i="1"/>
  <c r="T997" i="1"/>
  <c r="T993" i="1"/>
  <c r="T989" i="1"/>
  <c r="T985" i="1"/>
  <c r="T981" i="1"/>
  <c r="T977" i="1"/>
  <c r="T973" i="1"/>
  <c r="T969" i="1"/>
  <c r="T965" i="1"/>
  <c r="T961" i="1"/>
  <c r="T957" i="1"/>
  <c r="T953" i="1"/>
  <c r="T947" i="1"/>
  <c r="T939" i="1"/>
  <c r="T3" i="1"/>
  <c r="T6" i="1"/>
  <c r="T10" i="1"/>
  <c r="T2" i="1"/>
  <c r="T7" i="1"/>
  <c r="T11" i="1"/>
  <c r="T4" i="1"/>
  <c r="T8" i="1"/>
  <c r="T12" i="1"/>
  <c r="T5" i="1"/>
  <c r="T9" i="1"/>
  <c r="T13" i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Employee Data _assignment 1 _DA11_Black.xlsx!Table1" type="102" refreshedVersion="6" minRefreshableVersion="5">
    <extLst>
      <ext xmlns:x15="http://schemas.microsoft.com/office/spreadsheetml/2010/11/main" uri="{DE250136-89BD-433C-8126-D09CA5730AF9}">
        <x15:connection id="Table1">
          <x15:rangePr sourceName="_xlcn.WorksheetConnection_EmployeeData_assignment1_DA11_Black.xlsxTable11"/>
        </x15:connection>
      </ext>
    </extLst>
  </connection>
  <connection id="3" name="WorksheetConnection_EmployeeDataSample!$L:$L" type="102" refreshedVersion="6" minRefreshableVersion="5">
    <extLst>
      <ext xmlns:x15="http://schemas.microsoft.com/office/spreadsheetml/2010/11/main" uri="{DE250136-89BD-433C-8126-D09CA5730AF9}">
        <x15:connection id="Range2" autoDelete="1">
          <x15:rangePr sourceName="_xlcn.WorksheetConnection_EmployeeDataSampleLL1"/>
        </x15:connection>
      </ext>
    </extLst>
  </connection>
  <connection id="4" name="WorksheetConnection_EmployeeDataSample!$R:$R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EmployeeDataSampleRR1"/>
        </x15:connection>
      </ext>
    </extLst>
  </connection>
  <connection id="5" name="WorksheetConnection_EmployeeDataSample!$S:$S" type="102" refreshedVersion="6" minRefreshableVersion="5">
    <extLst>
      <ext xmlns:x15="http://schemas.microsoft.com/office/spreadsheetml/2010/11/main" uri="{DE250136-89BD-433C-8126-D09CA5730AF9}">
        <x15:connection id="Range1" autoDelete="1">
          <x15:rangePr sourceName="_xlcn.WorksheetConnection_EmployeeDataSampleSS1"/>
        </x15:connection>
      </ext>
    </extLst>
  </connection>
</connections>
</file>

<file path=xl/sharedStrings.xml><?xml version="1.0" encoding="utf-8"?>
<sst xmlns="http://schemas.openxmlformats.org/spreadsheetml/2006/main" count="11797" uniqueCount="1532">
  <si>
    <t>Age</t>
  </si>
  <si>
    <t>Department</t>
  </si>
  <si>
    <t>HourlyRate</t>
  </si>
  <si>
    <t>JobInvolvement</t>
  </si>
  <si>
    <t>JobLevel</t>
  </si>
  <si>
    <t>JobSatisfaction</t>
  </si>
  <si>
    <t>MaritalStatus</t>
  </si>
  <si>
    <t>NumCompaniesWorked</t>
  </si>
  <si>
    <t>OverTime</t>
  </si>
  <si>
    <t>TotalWorkingYears</t>
  </si>
  <si>
    <t>Yes</t>
  </si>
  <si>
    <t>Sales</t>
  </si>
  <si>
    <t>Single</t>
  </si>
  <si>
    <t>No</t>
  </si>
  <si>
    <t>Research &amp; Development</t>
  </si>
  <si>
    <t>Married</t>
  </si>
  <si>
    <t>Divorced</t>
  </si>
  <si>
    <t>Human Resources</t>
  </si>
  <si>
    <t>EM0011</t>
  </si>
  <si>
    <t>EM0012</t>
  </si>
  <si>
    <t>EM0013</t>
  </si>
  <si>
    <t>EM0014</t>
  </si>
  <si>
    <t>EM0015</t>
  </si>
  <si>
    <t>EM0016</t>
  </si>
  <si>
    <t>EM0017</t>
  </si>
  <si>
    <t>EM0018</t>
  </si>
  <si>
    <t>EM0019</t>
  </si>
  <si>
    <t>EM0020</t>
  </si>
  <si>
    <t>EM0021</t>
  </si>
  <si>
    <t>EM0022</t>
  </si>
  <si>
    <t>EM0023</t>
  </si>
  <si>
    <t>EM0024</t>
  </si>
  <si>
    <t>EM0025</t>
  </si>
  <si>
    <t>EM0026</t>
  </si>
  <si>
    <t>EM0027</t>
  </si>
  <si>
    <t>EM0028</t>
  </si>
  <si>
    <t>EM0029</t>
  </si>
  <si>
    <t>EM0030</t>
  </si>
  <si>
    <t>EM0031</t>
  </si>
  <si>
    <t>EM0032</t>
  </si>
  <si>
    <t>EM0033</t>
  </si>
  <si>
    <t>EM0034</t>
  </si>
  <si>
    <t>EM0035</t>
  </si>
  <si>
    <t>EM0036</t>
  </si>
  <si>
    <t>EM0037</t>
  </si>
  <si>
    <t>EM0038</t>
  </si>
  <si>
    <t>EM0039</t>
  </si>
  <si>
    <t>EM0040</t>
  </si>
  <si>
    <t>EM0041</t>
  </si>
  <si>
    <t>EM0042</t>
  </si>
  <si>
    <t>EM0043</t>
  </si>
  <si>
    <t>EM0044</t>
  </si>
  <si>
    <t>EM0045</t>
  </si>
  <si>
    <t>EM0046</t>
  </si>
  <si>
    <t>EM0047</t>
  </si>
  <si>
    <t>EM0048</t>
  </si>
  <si>
    <t>EM0049</t>
  </si>
  <si>
    <t>EM0050</t>
  </si>
  <si>
    <t>EM0051</t>
  </si>
  <si>
    <t>EM0052</t>
  </si>
  <si>
    <t>EM0053</t>
  </si>
  <si>
    <t>EM0054</t>
  </si>
  <si>
    <t>EM0055</t>
  </si>
  <si>
    <t>EM0056</t>
  </si>
  <si>
    <t>EM0057</t>
  </si>
  <si>
    <t>EM0058</t>
  </si>
  <si>
    <t>EM0059</t>
  </si>
  <si>
    <t>EM0060</t>
  </si>
  <si>
    <t>EM0061</t>
  </si>
  <si>
    <t>EM0062</t>
  </si>
  <si>
    <t>EM0063</t>
  </si>
  <si>
    <t>EM0064</t>
  </si>
  <si>
    <t>EM0065</t>
  </si>
  <si>
    <t>EM0066</t>
  </si>
  <si>
    <t>EM0067</t>
  </si>
  <si>
    <t>EM0068</t>
  </si>
  <si>
    <t>EM0069</t>
  </si>
  <si>
    <t>EM0070</t>
  </si>
  <si>
    <t>EM0071</t>
  </si>
  <si>
    <t>EM0072</t>
  </si>
  <si>
    <t>EM0073</t>
  </si>
  <si>
    <t>EM0074</t>
  </si>
  <si>
    <t>EM0075</t>
  </si>
  <si>
    <t>EM0076</t>
  </si>
  <si>
    <t>EM0077</t>
  </si>
  <si>
    <t>EM0078</t>
  </si>
  <si>
    <t>EM0079</t>
  </si>
  <si>
    <t>EM0080</t>
  </si>
  <si>
    <t>EM0081</t>
  </si>
  <si>
    <t>EM0082</t>
  </si>
  <si>
    <t>EM0083</t>
  </si>
  <si>
    <t>EM0084</t>
  </si>
  <si>
    <t>EM0085</t>
  </si>
  <si>
    <t>EM0086</t>
  </si>
  <si>
    <t>EM0087</t>
  </si>
  <si>
    <t>EM0088</t>
  </si>
  <si>
    <t>EM0089</t>
  </si>
  <si>
    <t>EM0090</t>
  </si>
  <si>
    <t>EM0091</t>
  </si>
  <si>
    <t>EM0092</t>
  </si>
  <si>
    <t>EM0093</t>
  </si>
  <si>
    <t>EM0094</t>
  </si>
  <si>
    <t>EM0095</t>
  </si>
  <si>
    <t>EM0096</t>
  </si>
  <si>
    <t>EM0097</t>
  </si>
  <si>
    <t>EM0098</t>
  </si>
  <si>
    <t>EM0099</t>
  </si>
  <si>
    <t>EM00100</t>
  </si>
  <si>
    <t>EM00101</t>
  </si>
  <si>
    <t>EM00102</t>
  </si>
  <si>
    <t>EM00103</t>
  </si>
  <si>
    <t>EM00104</t>
  </si>
  <si>
    <t>EM00105</t>
  </si>
  <si>
    <t>EM00106</t>
  </si>
  <si>
    <t>EM00107</t>
  </si>
  <si>
    <t>EM00108</t>
  </si>
  <si>
    <t>EM00109</t>
  </si>
  <si>
    <t>EM00110</t>
  </si>
  <si>
    <t>EM00111</t>
  </si>
  <si>
    <t>EM00112</t>
  </si>
  <si>
    <t>EM00113</t>
  </si>
  <si>
    <t>EM00114</t>
  </si>
  <si>
    <t>EM00115</t>
  </si>
  <si>
    <t>EM00116</t>
  </si>
  <si>
    <t>EM00117</t>
  </si>
  <si>
    <t>EM00118</t>
  </si>
  <si>
    <t>EM00119</t>
  </si>
  <si>
    <t>EM00120</t>
  </si>
  <si>
    <t>EM00121</t>
  </si>
  <si>
    <t>EM00122</t>
  </si>
  <si>
    <t>EM00123</t>
  </si>
  <si>
    <t>EM00124</t>
  </si>
  <si>
    <t>EM00125</t>
  </si>
  <si>
    <t>EM00126</t>
  </si>
  <si>
    <t>EM00127</t>
  </si>
  <si>
    <t>EM00128</t>
  </si>
  <si>
    <t>EM00129</t>
  </si>
  <si>
    <t>EM00130</t>
  </si>
  <si>
    <t>EM00131</t>
  </si>
  <si>
    <t>EM00132</t>
  </si>
  <si>
    <t>EM00133</t>
  </si>
  <si>
    <t>EM00134</t>
  </si>
  <si>
    <t>EM00135</t>
  </si>
  <si>
    <t>EM00136</t>
  </si>
  <si>
    <t>EM00137</t>
  </si>
  <si>
    <t>EM00138</t>
  </si>
  <si>
    <t>EM00139</t>
  </si>
  <si>
    <t>EM00140</t>
  </si>
  <si>
    <t>EM00141</t>
  </si>
  <si>
    <t>EM00142</t>
  </si>
  <si>
    <t>EM00143</t>
  </si>
  <si>
    <t>EM00144</t>
  </si>
  <si>
    <t>EM00145</t>
  </si>
  <si>
    <t>EM00146</t>
  </si>
  <si>
    <t>EM00147</t>
  </si>
  <si>
    <t>EM00148</t>
  </si>
  <si>
    <t>EM00149</t>
  </si>
  <si>
    <t>EM00150</t>
  </si>
  <si>
    <t>EM00151</t>
  </si>
  <si>
    <t>EM00152</t>
  </si>
  <si>
    <t>EM00153</t>
  </si>
  <si>
    <t>EM00154</t>
  </si>
  <si>
    <t>EM00155</t>
  </si>
  <si>
    <t>EM00156</t>
  </si>
  <si>
    <t>EM00157</t>
  </si>
  <si>
    <t>EM00158</t>
  </si>
  <si>
    <t>EM00159</t>
  </si>
  <si>
    <t>EM00160</t>
  </si>
  <si>
    <t>EM00161</t>
  </si>
  <si>
    <t>EM00162</t>
  </si>
  <si>
    <t>EM00163</t>
  </si>
  <si>
    <t>EM00164</t>
  </si>
  <si>
    <t>EM00165</t>
  </si>
  <si>
    <t>EM00166</t>
  </si>
  <si>
    <t>EM00167</t>
  </si>
  <si>
    <t>EM00168</t>
  </si>
  <si>
    <t>EM00169</t>
  </si>
  <si>
    <t>EM00170</t>
  </si>
  <si>
    <t>EM00171</t>
  </si>
  <si>
    <t>EM00172</t>
  </si>
  <si>
    <t>EM00173</t>
  </si>
  <si>
    <t>EM00174</t>
  </si>
  <si>
    <t>EM00175</t>
  </si>
  <si>
    <t>EM00176</t>
  </si>
  <si>
    <t>EM00177</t>
  </si>
  <si>
    <t>EM00178</t>
  </si>
  <si>
    <t>EM00179</t>
  </si>
  <si>
    <t>EM00180</t>
  </si>
  <si>
    <t>EM00181</t>
  </si>
  <si>
    <t>EM00182</t>
  </si>
  <si>
    <t>EM00183</t>
  </si>
  <si>
    <t>EM00184</t>
  </si>
  <si>
    <t>EM00185</t>
  </si>
  <si>
    <t>EM00186</t>
  </si>
  <si>
    <t>EM00187</t>
  </si>
  <si>
    <t>EM00188</t>
  </si>
  <si>
    <t>EM00189</t>
  </si>
  <si>
    <t>EM00190</t>
  </si>
  <si>
    <t>EM00191</t>
  </si>
  <si>
    <t>EM00192</t>
  </si>
  <si>
    <t>EM00193</t>
  </si>
  <si>
    <t>EM00194</t>
  </si>
  <si>
    <t>EM00195</t>
  </si>
  <si>
    <t>EM00196</t>
  </si>
  <si>
    <t>EM00197</t>
  </si>
  <si>
    <t>EM00198</t>
  </si>
  <si>
    <t>EM00199</t>
  </si>
  <si>
    <t>EM00200</t>
  </si>
  <si>
    <t>EM00201</t>
  </si>
  <si>
    <t>EM00202</t>
  </si>
  <si>
    <t>EM00203</t>
  </si>
  <si>
    <t>EM00204</t>
  </si>
  <si>
    <t>EM00205</t>
  </si>
  <si>
    <t>EM00206</t>
  </si>
  <si>
    <t>EM00207</t>
  </si>
  <si>
    <t>EM00208</t>
  </si>
  <si>
    <t>EM00209</t>
  </si>
  <si>
    <t>EM00210</t>
  </si>
  <si>
    <t>EM00211</t>
  </si>
  <si>
    <t>EM00212</t>
  </si>
  <si>
    <t>EM00213</t>
  </si>
  <si>
    <t>EM00214</t>
  </si>
  <si>
    <t>EM00215</t>
  </si>
  <si>
    <t>EM00216</t>
  </si>
  <si>
    <t>EM00217</t>
  </si>
  <si>
    <t>EM00218</t>
  </si>
  <si>
    <t>EM00219</t>
  </si>
  <si>
    <t>EM00220</t>
  </si>
  <si>
    <t>EM00221</t>
  </si>
  <si>
    <t>EM00222</t>
  </si>
  <si>
    <t>EM00223</t>
  </si>
  <si>
    <t>EM00224</t>
  </si>
  <si>
    <t>EM00225</t>
  </si>
  <si>
    <t>EM00226</t>
  </si>
  <si>
    <t>EM00227</t>
  </si>
  <si>
    <t>EM00228</t>
  </si>
  <si>
    <t>EM00229</t>
  </si>
  <si>
    <t>EM00230</t>
  </si>
  <si>
    <t>EM00231</t>
  </si>
  <si>
    <t>EM00232</t>
  </si>
  <si>
    <t>EM00233</t>
  </si>
  <si>
    <t>EM00234</t>
  </si>
  <si>
    <t>EM00235</t>
  </si>
  <si>
    <t>EM00236</t>
  </si>
  <si>
    <t>EM00237</t>
  </si>
  <si>
    <t>EM00238</t>
  </si>
  <si>
    <t>EM00239</t>
  </si>
  <si>
    <t>EM00240</t>
  </si>
  <si>
    <t>EM00241</t>
  </si>
  <si>
    <t>EM00242</t>
  </si>
  <si>
    <t>EM00243</t>
  </si>
  <si>
    <t>EM00244</t>
  </si>
  <si>
    <t>EM00245</t>
  </si>
  <si>
    <t>EM00246</t>
  </si>
  <si>
    <t>EM00247</t>
  </si>
  <si>
    <t>EM00248</t>
  </si>
  <si>
    <t>EM00249</t>
  </si>
  <si>
    <t>EM00250</t>
  </si>
  <si>
    <t>EM00251</t>
  </si>
  <si>
    <t>EM00252</t>
  </si>
  <si>
    <t>EM00253</t>
  </si>
  <si>
    <t>EM00254</t>
  </si>
  <si>
    <t>EM00255</t>
  </si>
  <si>
    <t>EM00256</t>
  </si>
  <si>
    <t>EM00257</t>
  </si>
  <si>
    <t>EM00258</t>
  </si>
  <si>
    <t>EM00259</t>
  </si>
  <si>
    <t>EM00260</t>
  </si>
  <si>
    <t>EM00261</t>
  </si>
  <si>
    <t>EM00262</t>
  </si>
  <si>
    <t>EM00263</t>
  </si>
  <si>
    <t>EM00264</t>
  </si>
  <si>
    <t>EM00265</t>
  </si>
  <si>
    <t>EM00266</t>
  </si>
  <si>
    <t>EM00267</t>
  </si>
  <si>
    <t>EM00268</t>
  </si>
  <si>
    <t>EM00269</t>
  </si>
  <si>
    <t>EM00270</t>
  </si>
  <si>
    <t>EM00271</t>
  </si>
  <si>
    <t>EM00272</t>
  </si>
  <si>
    <t>EM00273</t>
  </si>
  <si>
    <t>EM00274</t>
  </si>
  <si>
    <t>EM00275</t>
  </si>
  <si>
    <t>EM00276</t>
  </si>
  <si>
    <t>EM00277</t>
  </si>
  <si>
    <t>EM00278</t>
  </si>
  <si>
    <t>EM00279</t>
  </si>
  <si>
    <t>EM00280</t>
  </si>
  <si>
    <t>EM00281</t>
  </si>
  <si>
    <t>EM00282</t>
  </si>
  <si>
    <t>EM00283</t>
  </si>
  <si>
    <t>EM00284</t>
  </si>
  <si>
    <t>EM00285</t>
  </si>
  <si>
    <t>EM00286</t>
  </si>
  <si>
    <t>EM00287</t>
  </si>
  <si>
    <t>EM00288</t>
  </si>
  <si>
    <t>EM00289</t>
  </si>
  <si>
    <t>EM00290</t>
  </si>
  <si>
    <t>EM00291</t>
  </si>
  <si>
    <t>EM00292</t>
  </si>
  <si>
    <t>EM00293</t>
  </si>
  <si>
    <t>EM00294</t>
  </si>
  <si>
    <t>EM00295</t>
  </si>
  <si>
    <t>EM00296</t>
  </si>
  <si>
    <t>EM00297</t>
  </si>
  <si>
    <t>EM00298</t>
  </si>
  <si>
    <t>EM00299</t>
  </si>
  <si>
    <t>EM00300</t>
  </si>
  <si>
    <t>EM00301</t>
  </si>
  <si>
    <t>EM00302</t>
  </si>
  <si>
    <t>EM00303</t>
  </si>
  <si>
    <t>EM00304</t>
  </si>
  <si>
    <t>EM00305</t>
  </si>
  <si>
    <t>EM00306</t>
  </si>
  <si>
    <t>EM00307</t>
  </si>
  <si>
    <t>EM00308</t>
  </si>
  <si>
    <t>EM00309</t>
  </si>
  <si>
    <t>EM00310</t>
  </si>
  <si>
    <t>EM00311</t>
  </si>
  <si>
    <t>EM00312</t>
  </si>
  <si>
    <t>EM00313</t>
  </si>
  <si>
    <t>EM00314</t>
  </si>
  <si>
    <t>EM00315</t>
  </si>
  <si>
    <t>EM00316</t>
  </si>
  <si>
    <t>EM00317</t>
  </si>
  <si>
    <t>EM00318</t>
  </si>
  <si>
    <t>EM00319</t>
  </si>
  <si>
    <t>EM00320</t>
  </si>
  <si>
    <t>EM00321</t>
  </si>
  <si>
    <t>EM00322</t>
  </si>
  <si>
    <t>EM00323</t>
  </si>
  <si>
    <t>EM00324</t>
  </si>
  <si>
    <t>EM00325</t>
  </si>
  <si>
    <t>EM00326</t>
  </si>
  <si>
    <t>EM00327</t>
  </si>
  <si>
    <t>EM00328</t>
  </si>
  <si>
    <t>EM00329</t>
  </si>
  <si>
    <t>EM00330</t>
  </si>
  <si>
    <t>EM00331</t>
  </si>
  <si>
    <t>EM00332</t>
  </si>
  <si>
    <t>EM00333</t>
  </si>
  <si>
    <t>EM00334</t>
  </si>
  <si>
    <t>EM00335</t>
  </si>
  <si>
    <t>EM00336</t>
  </si>
  <si>
    <t>EM00337</t>
  </si>
  <si>
    <t>EM00338</t>
  </si>
  <si>
    <t>EM00339</t>
  </si>
  <si>
    <t>EM00340</t>
  </si>
  <si>
    <t>EM00341</t>
  </si>
  <si>
    <t>EM00342</t>
  </si>
  <si>
    <t>EM00343</t>
  </si>
  <si>
    <t>EM00344</t>
  </si>
  <si>
    <t>EM00345</t>
  </si>
  <si>
    <t>EM00346</t>
  </si>
  <si>
    <t>EM00347</t>
  </si>
  <si>
    <t>EM00348</t>
  </si>
  <si>
    <t>EM00349</t>
  </si>
  <si>
    <t>EM00350</t>
  </si>
  <si>
    <t>EM00351</t>
  </si>
  <si>
    <t>EM00352</t>
  </si>
  <si>
    <t>EM00353</t>
  </si>
  <si>
    <t>EM00354</t>
  </si>
  <si>
    <t>EM00355</t>
  </si>
  <si>
    <t>EM00356</t>
  </si>
  <si>
    <t>EM00357</t>
  </si>
  <si>
    <t>EM00358</t>
  </si>
  <si>
    <t>EM00359</t>
  </si>
  <si>
    <t>EM00360</t>
  </si>
  <si>
    <t>EM00361</t>
  </si>
  <si>
    <t>EM00362</t>
  </si>
  <si>
    <t>EM00363</t>
  </si>
  <si>
    <t>EM00364</t>
  </si>
  <si>
    <t>EM00365</t>
  </si>
  <si>
    <t>EM00366</t>
  </si>
  <si>
    <t>EM00367</t>
  </si>
  <si>
    <t>EM00368</t>
  </si>
  <si>
    <t>EM00369</t>
  </si>
  <si>
    <t>EM00370</t>
  </si>
  <si>
    <t>EM00371</t>
  </si>
  <si>
    <t>EM00372</t>
  </si>
  <si>
    <t>EM00373</t>
  </si>
  <si>
    <t>EM00374</t>
  </si>
  <si>
    <t>EM00375</t>
  </si>
  <si>
    <t>EM00376</t>
  </si>
  <si>
    <t>EM00377</t>
  </si>
  <si>
    <t>EM00378</t>
  </si>
  <si>
    <t>EM00379</t>
  </si>
  <si>
    <t>EM00380</t>
  </si>
  <si>
    <t>EM00381</t>
  </si>
  <si>
    <t>EM00382</t>
  </si>
  <si>
    <t>EM00383</t>
  </si>
  <si>
    <t>EM00384</t>
  </si>
  <si>
    <t>EM00385</t>
  </si>
  <si>
    <t>EM00386</t>
  </si>
  <si>
    <t>EM00387</t>
  </si>
  <si>
    <t>EM00388</t>
  </si>
  <si>
    <t>EM00389</t>
  </si>
  <si>
    <t>EM00390</t>
  </si>
  <si>
    <t>EM00391</t>
  </si>
  <si>
    <t>EM00392</t>
  </si>
  <si>
    <t>EM00393</t>
  </si>
  <si>
    <t>EM00394</t>
  </si>
  <si>
    <t>EM00395</t>
  </si>
  <si>
    <t>EM00396</t>
  </si>
  <si>
    <t>EM00397</t>
  </si>
  <si>
    <t>EM00398</t>
  </si>
  <si>
    <t>EM00399</t>
  </si>
  <si>
    <t>EM00400</t>
  </si>
  <si>
    <t>EM00401</t>
  </si>
  <si>
    <t>EM00402</t>
  </si>
  <si>
    <t>EM00403</t>
  </si>
  <si>
    <t>EM00404</t>
  </si>
  <si>
    <t>EM00405</t>
  </si>
  <si>
    <t>EM00406</t>
  </si>
  <si>
    <t>EM00407</t>
  </si>
  <si>
    <t>EM00408</t>
  </si>
  <si>
    <t>EM00409</t>
  </si>
  <si>
    <t>EM00410</t>
  </si>
  <si>
    <t>EM00411</t>
  </si>
  <si>
    <t>EM00412</t>
  </si>
  <si>
    <t>EM00413</t>
  </si>
  <si>
    <t>EM00414</t>
  </si>
  <si>
    <t>EM00415</t>
  </si>
  <si>
    <t>EM00416</t>
  </si>
  <si>
    <t>EM00417</t>
  </si>
  <si>
    <t>EM00418</t>
  </si>
  <si>
    <t>EM00419</t>
  </si>
  <si>
    <t>EM00420</t>
  </si>
  <si>
    <t>EM00421</t>
  </si>
  <si>
    <t>EM00422</t>
  </si>
  <si>
    <t>EM00423</t>
  </si>
  <si>
    <t>EM00424</t>
  </si>
  <si>
    <t>EM00425</t>
  </si>
  <si>
    <t>EM00426</t>
  </si>
  <si>
    <t>EM00427</t>
  </si>
  <si>
    <t>EM00428</t>
  </si>
  <si>
    <t>EM00429</t>
  </si>
  <si>
    <t>EM00430</t>
  </si>
  <si>
    <t>EM00431</t>
  </si>
  <si>
    <t>EM00432</t>
  </si>
  <si>
    <t>EM00433</t>
  </si>
  <si>
    <t>EM00434</t>
  </si>
  <si>
    <t>EM00435</t>
  </si>
  <si>
    <t>EM00436</t>
  </si>
  <si>
    <t>EM00437</t>
  </si>
  <si>
    <t>EM00438</t>
  </si>
  <si>
    <t>EM00439</t>
  </si>
  <si>
    <t>EM00440</t>
  </si>
  <si>
    <t>EM00441</t>
  </si>
  <si>
    <t>EM00442</t>
  </si>
  <si>
    <t>EM00443</t>
  </si>
  <si>
    <t>EM00444</t>
  </si>
  <si>
    <t>EM00445</t>
  </si>
  <si>
    <t>EM00446</t>
  </si>
  <si>
    <t>EM00447</t>
  </si>
  <si>
    <t>EM00448</t>
  </si>
  <si>
    <t>EM00449</t>
  </si>
  <si>
    <t>EM00450</t>
  </si>
  <si>
    <t>EM00451</t>
  </si>
  <si>
    <t>EM00452</t>
  </si>
  <si>
    <t>EM00453</t>
  </si>
  <si>
    <t>EM00454</t>
  </si>
  <si>
    <t>EM00455</t>
  </si>
  <si>
    <t>EM00456</t>
  </si>
  <si>
    <t>EM00457</t>
  </si>
  <si>
    <t>EM00458</t>
  </si>
  <si>
    <t>EM00459</t>
  </si>
  <si>
    <t>EM00460</t>
  </si>
  <si>
    <t>EM00461</t>
  </si>
  <si>
    <t>EM00462</t>
  </si>
  <si>
    <t>EM00463</t>
  </si>
  <si>
    <t>EM00464</t>
  </si>
  <si>
    <t>EM00465</t>
  </si>
  <si>
    <t>EM00466</t>
  </si>
  <si>
    <t>EM00467</t>
  </si>
  <si>
    <t>EM00468</t>
  </si>
  <si>
    <t>EM00469</t>
  </si>
  <si>
    <t>EM00470</t>
  </si>
  <si>
    <t>EM00471</t>
  </si>
  <si>
    <t>EM00472</t>
  </si>
  <si>
    <t>EM00473</t>
  </si>
  <si>
    <t>EM00474</t>
  </si>
  <si>
    <t>EM00475</t>
  </si>
  <si>
    <t>EM00476</t>
  </si>
  <si>
    <t>EM00477</t>
  </si>
  <si>
    <t>EM00478</t>
  </si>
  <si>
    <t>EM00479</t>
  </si>
  <si>
    <t>EM00480</t>
  </si>
  <si>
    <t>EM00481</t>
  </si>
  <si>
    <t>EM00482</t>
  </si>
  <si>
    <t>EM00483</t>
  </si>
  <si>
    <t>EM00484</t>
  </si>
  <si>
    <t>EM00485</t>
  </si>
  <si>
    <t>EM00486</t>
  </si>
  <si>
    <t>EM00487</t>
  </si>
  <si>
    <t>EM00488</t>
  </si>
  <si>
    <t>EM00489</t>
  </si>
  <si>
    <t>EM00490</t>
  </si>
  <si>
    <t>EM00491</t>
  </si>
  <si>
    <t>EM00492</t>
  </si>
  <si>
    <t>EM00493</t>
  </si>
  <si>
    <t>EM00494</t>
  </si>
  <si>
    <t>EM00495</t>
  </si>
  <si>
    <t>EM00496</t>
  </si>
  <si>
    <t>EM00497</t>
  </si>
  <si>
    <t>EM00498</t>
  </si>
  <si>
    <t>EM00499</t>
  </si>
  <si>
    <t>EM00500</t>
  </si>
  <si>
    <t>EM00501</t>
  </si>
  <si>
    <t>EM00502</t>
  </si>
  <si>
    <t>EM00503</t>
  </si>
  <si>
    <t>EM00504</t>
  </si>
  <si>
    <t>EM00505</t>
  </si>
  <si>
    <t>EM00506</t>
  </si>
  <si>
    <t>EM00507</t>
  </si>
  <si>
    <t>EM00508</t>
  </si>
  <si>
    <t>EM00509</t>
  </si>
  <si>
    <t>EM00510</t>
  </si>
  <si>
    <t>EM00511</t>
  </si>
  <si>
    <t>EM00512</t>
  </si>
  <si>
    <t>EM00513</t>
  </si>
  <si>
    <t>EM00514</t>
  </si>
  <si>
    <t>EM00515</t>
  </si>
  <si>
    <t>EM00516</t>
  </si>
  <si>
    <t>EM00517</t>
  </si>
  <si>
    <t>EM00518</t>
  </si>
  <si>
    <t>EM00519</t>
  </si>
  <si>
    <t>EM00520</t>
  </si>
  <si>
    <t>EM00521</t>
  </si>
  <si>
    <t>EM00522</t>
  </si>
  <si>
    <t>EM00523</t>
  </si>
  <si>
    <t>EM00524</t>
  </si>
  <si>
    <t>EM00525</t>
  </si>
  <si>
    <t>EM00526</t>
  </si>
  <si>
    <t>EM00527</t>
  </si>
  <si>
    <t>EM00528</t>
  </si>
  <si>
    <t>EM00529</t>
  </si>
  <si>
    <t>EM00530</t>
  </si>
  <si>
    <t>EM00531</t>
  </si>
  <si>
    <t>EM00532</t>
  </si>
  <si>
    <t>EM00533</t>
  </si>
  <si>
    <t>EM00534</t>
  </si>
  <si>
    <t>EM00535</t>
  </si>
  <si>
    <t>EM00536</t>
  </si>
  <si>
    <t>EM00537</t>
  </si>
  <si>
    <t>EM00538</t>
  </si>
  <si>
    <t>EM00539</t>
  </si>
  <si>
    <t>EM00540</t>
  </si>
  <si>
    <t>EM00541</t>
  </si>
  <si>
    <t>EM00542</t>
  </si>
  <si>
    <t>EM00543</t>
  </si>
  <si>
    <t>EM00544</t>
  </si>
  <si>
    <t>EM00545</t>
  </si>
  <si>
    <t>EM00546</t>
  </si>
  <si>
    <t>EM00547</t>
  </si>
  <si>
    <t>EM00548</t>
  </si>
  <si>
    <t>EM00549</t>
  </si>
  <si>
    <t>EM00550</t>
  </si>
  <si>
    <t>EM00551</t>
  </si>
  <si>
    <t>EM00552</t>
  </si>
  <si>
    <t>EM00553</t>
  </si>
  <si>
    <t>EM00554</t>
  </si>
  <si>
    <t>EM00555</t>
  </si>
  <si>
    <t>EM00556</t>
  </si>
  <si>
    <t>EM00557</t>
  </si>
  <si>
    <t>EM00558</t>
  </si>
  <si>
    <t>EM00559</t>
  </si>
  <si>
    <t>EM00560</t>
  </si>
  <si>
    <t>EM00561</t>
  </si>
  <si>
    <t>EM00562</t>
  </si>
  <si>
    <t>EM00563</t>
  </si>
  <si>
    <t>EM00564</t>
  </si>
  <si>
    <t>EM00565</t>
  </si>
  <si>
    <t>EM00566</t>
  </si>
  <si>
    <t>EM00567</t>
  </si>
  <si>
    <t>EM00568</t>
  </si>
  <si>
    <t>EM00569</t>
  </si>
  <si>
    <t>EM00570</t>
  </si>
  <si>
    <t>EM00571</t>
  </si>
  <si>
    <t>EM00572</t>
  </si>
  <si>
    <t>EM00573</t>
  </si>
  <si>
    <t>EM00574</t>
  </si>
  <si>
    <t>EM00575</t>
  </si>
  <si>
    <t>EM00576</t>
  </si>
  <si>
    <t>EM00577</t>
  </si>
  <si>
    <t>EM00578</t>
  </si>
  <si>
    <t>EM00579</t>
  </si>
  <si>
    <t>EM00580</t>
  </si>
  <si>
    <t>EM00581</t>
  </si>
  <si>
    <t>EM00582</t>
  </si>
  <si>
    <t>EM00583</t>
  </si>
  <si>
    <t>EM00584</t>
  </si>
  <si>
    <t>EM00585</t>
  </si>
  <si>
    <t>EM00586</t>
  </si>
  <si>
    <t>EM00587</t>
  </si>
  <si>
    <t>EM00588</t>
  </si>
  <si>
    <t>EM00589</t>
  </si>
  <si>
    <t>EM00590</t>
  </si>
  <si>
    <t>EM00591</t>
  </si>
  <si>
    <t>EM00592</t>
  </si>
  <si>
    <t>EM00593</t>
  </si>
  <si>
    <t>EM00594</t>
  </si>
  <si>
    <t>EM00595</t>
  </si>
  <si>
    <t>EM00596</t>
  </si>
  <si>
    <t>EM00597</t>
  </si>
  <si>
    <t>EM00598</t>
  </si>
  <si>
    <t>EM00599</t>
  </si>
  <si>
    <t>EM00600</t>
  </si>
  <si>
    <t>EM00601</t>
  </si>
  <si>
    <t>EM00602</t>
  </si>
  <si>
    <t>EM00603</t>
  </si>
  <si>
    <t>EM00604</t>
  </si>
  <si>
    <t>EM00605</t>
  </si>
  <si>
    <t>EM00606</t>
  </si>
  <si>
    <t>EM00607</t>
  </si>
  <si>
    <t>EM00608</t>
  </si>
  <si>
    <t>EM00609</t>
  </si>
  <si>
    <t>EM00610</t>
  </si>
  <si>
    <t>EM00611</t>
  </si>
  <si>
    <t>EM00612</t>
  </si>
  <si>
    <t>EM00613</t>
  </si>
  <si>
    <t>EM00614</t>
  </si>
  <si>
    <t>EM00615</t>
  </si>
  <si>
    <t>EM00616</t>
  </si>
  <si>
    <t>EM00617</t>
  </si>
  <si>
    <t>EM00618</t>
  </si>
  <si>
    <t>EM00619</t>
  </si>
  <si>
    <t>EM00620</t>
  </si>
  <si>
    <t>EM00621</t>
  </si>
  <si>
    <t>EM00622</t>
  </si>
  <si>
    <t>EM00623</t>
  </si>
  <si>
    <t>EM00624</t>
  </si>
  <si>
    <t>EM00625</t>
  </si>
  <si>
    <t>EM00626</t>
  </si>
  <si>
    <t>EM00627</t>
  </si>
  <si>
    <t>EM00628</t>
  </si>
  <si>
    <t>EM00629</t>
  </si>
  <si>
    <t>EM00630</t>
  </si>
  <si>
    <t>EM00631</t>
  </si>
  <si>
    <t>EM00632</t>
  </si>
  <si>
    <t>EM00633</t>
  </si>
  <si>
    <t>EM00634</t>
  </si>
  <si>
    <t>EM00635</t>
  </si>
  <si>
    <t>EM00636</t>
  </si>
  <si>
    <t>EM00637</t>
  </si>
  <si>
    <t>EM00638</t>
  </si>
  <si>
    <t>EM00639</t>
  </si>
  <si>
    <t>EM00640</t>
  </si>
  <si>
    <t>EM00641</t>
  </si>
  <si>
    <t>EM00642</t>
  </si>
  <si>
    <t>EM00643</t>
  </si>
  <si>
    <t>EM00644</t>
  </si>
  <si>
    <t>EM00645</t>
  </si>
  <si>
    <t>EM00646</t>
  </si>
  <si>
    <t>EM00647</t>
  </si>
  <si>
    <t>EM00648</t>
  </si>
  <si>
    <t>EM00649</t>
  </si>
  <si>
    <t>EM00650</t>
  </si>
  <si>
    <t>EM00651</t>
  </si>
  <si>
    <t>EM00652</t>
  </si>
  <si>
    <t>EM00653</t>
  </si>
  <si>
    <t>EM00654</t>
  </si>
  <si>
    <t>EM00655</t>
  </si>
  <si>
    <t>EM00656</t>
  </si>
  <si>
    <t>EM00657</t>
  </si>
  <si>
    <t>EM00658</t>
  </si>
  <si>
    <t>EM00659</t>
  </si>
  <si>
    <t>EM00660</t>
  </si>
  <si>
    <t>EM00661</t>
  </si>
  <si>
    <t>EM00662</t>
  </si>
  <si>
    <t>EM00663</t>
  </si>
  <si>
    <t>EM00664</t>
  </si>
  <si>
    <t>EM00665</t>
  </si>
  <si>
    <t>EM00666</t>
  </si>
  <si>
    <t>EM00667</t>
  </si>
  <si>
    <t>EM00668</t>
  </si>
  <si>
    <t>EM00669</t>
  </si>
  <si>
    <t>EM00670</t>
  </si>
  <si>
    <t>EM00671</t>
  </si>
  <si>
    <t>EM00672</t>
  </si>
  <si>
    <t>EM00673</t>
  </si>
  <si>
    <t>EM00674</t>
  </si>
  <si>
    <t>EM00675</t>
  </si>
  <si>
    <t>EM00676</t>
  </si>
  <si>
    <t>EM00677</t>
  </si>
  <si>
    <t>EM00678</t>
  </si>
  <si>
    <t>EM00679</t>
  </si>
  <si>
    <t>EM00680</t>
  </si>
  <si>
    <t>EM00681</t>
  </si>
  <si>
    <t>EM00682</t>
  </si>
  <si>
    <t>EM00683</t>
  </si>
  <si>
    <t>EM00684</t>
  </si>
  <si>
    <t>EM00685</t>
  </si>
  <si>
    <t>EM00686</t>
  </si>
  <si>
    <t>EM00687</t>
  </si>
  <si>
    <t>EM00688</t>
  </si>
  <si>
    <t>EM00689</t>
  </si>
  <si>
    <t>EM00690</t>
  </si>
  <si>
    <t>EM00691</t>
  </si>
  <si>
    <t>EM00692</t>
  </si>
  <si>
    <t>EM00693</t>
  </si>
  <si>
    <t>EM00694</t>
  </si>
  <si>
    <t>EM00695</t>
  </si>
  <si>
    <t>EM00696</t>
  </si>
  <si>
    <t>EM00697</t>
  </si>
  <si>
    <t>EM00698</t>
  </si>
  <si>
    <t>EM00699</t>
  </si>
  <si>
    <t>EM00700</t>
  </si>
  <si>
    <t>EM00701</t>
  </si>
  <si>
    <t>EM00702</t>
  </si>
  <si>
    <t>EM00703</t>
  </si>
  <si>
    <t>EM00704</t>
  </si>
  <si>
    <t>EM00705</t>
  </si>
  <si>
    <t>EM00706</t>
  </si>
  <si>
    <t>EM00707</t>
  </si>
  <si>
    <t>EM00708</t>
  </si>
  <si>
    <t>EM00709</t>
  </si>
  <si>
    <t>EM00710</t>
  </si>
  <si>
    <t>EM00711</t>
  </si>
  <si>
    <t>EM00712</t>
  </si>
  <si>
    <t>EM00713</t>
  </si>
  <si>
    <t>EM00714</t>
  </si>
  <si>
    <t>EM00715</t>
  </si>
  <si>
    <t>EM00716</t>
  </si>
  <si>
    <t>EM00717</t>
  </si>
  <si>
    <t>EM00718</t>
  </si>
  <si>
    <t>EM00719</t>
  </si>
  <si>
    <t>EM00720</t>
  </si>
  <si>
    <t>EM00721</t>
  </si>
  <si>
    <t>EM00722</t>
  </si>
  <si>
    <t>EM00723</t>
  </si>
  <si>
    <t>EM00724</t>
  </si>
  <si>
    <t>EM00725</t>
  </si>
  <si>
    <t>EM00726</t>
  </si>
  <si>
    <t>EM00727</t>
  </si>
  <si>
    <t>EM00728</t>
  </si>
  <si>
    <t>EM00729</t>
  </si>
  <si>
    <t>EM00730</t>
  </si>
  <si>
    <t>EM00731</t>
  </si>
  <si>
    <t>EM00732</t>
  </si>
  <si>
    <t>EM00733</t>
  </si>
  <si>
    <t>EM00734</t>
  </si>
  <si>
    <t>EM00735</t>
  </si>
  <si>
    <t>EM00736</t>
  </si>
  <si>
    <t>EM00737</t>
  </si>
  <si>
    <t>EM00738</t>
  </si>
  <si>
    <t>EM00739</t>
  </si>
  <si>
    <t>EM00740</t>
  </si>
  <si>
    <t>EM00741</t>
  </si>
  <si>
    <t>EM00742</t>
  </si>
  <si>
    <t>EM00743</t>
  </si>
  <si>
    <t>EM00744</t>
  </si>
  <si>
    <t>EM00745</t>
  </si>
  <si>
    <t>EM00746</t>
  </si>
  <si>
    <t>EM00747</t>
  </si>
  <si>
    <t>EM00748</t>
  </si>
  <si>
    <t>EM00749</t>
  </si>
  <si>
    <t>EM00750</t>
  </si>
  <si>
    <t>EM00751</t>
  </si>
  <si>
    <t>EM00752</t>
  </si>
  <si>
    <t>EM00753</t>
  </si>
  <si>
    <t>EM00754</t>
  </si>
  <si>
    <t>EM00755</t>
  </si>
  <si>
    <t>EM00756</t>
  </si>
  <si>
    <t>EM00757</t>
  </si>
  <si>
    <t>EM00758</t>
  </si>
  <si>
    <t>EM00759</t>
  </si>
  <si>
    <t>EM00760</t>
  </si>
  <si>
    <t>EM00761</t>
  </si>
  <si>
    <t>EM00762</t>
  </si>
  <si>
    <t>EM00763</t>
  </si>
  <si>
    <t>EM00764</t>
  </si>
  <si>
    <t>EM00765</t>
  </si>
  <si>
    <t>EM00766</t>
  </si>
  <si>
    <t>EM00767</t>
  </si>
  <si>
    <t>EM00768</t>
  </si>
  <si>
    <t>EM00769</t>
  </si>
  <si>
    <t>EM00770</t>
  </si>
  <si>
    <t>EM00771</t>
  </si>
  <si>
    <t>EM00772</t>
  </si>
  <si>
    <t>EM00773</t>
  </si>
  <si>
    <t>EM00774</t>
  </si>
  <si>
    <t>EM00775</t>
  </si>
  <si>
    <t>EM00776</t>
  </si>
  <si>
    <t>EM00777</t>
  </si>
  <si>
    <t>EM00778</t>
  </si>
  <si>
    <t>EM00779</t>
  </si>
  <si>
    <t>EM00780</t>
  </si>
  <si>
    <t>EM00781</t>
  </si>
  <si>
    <t>EM00782</t>
  </si>
  <si>
    <t>EM00783</t>
  </si>
  <si>
    <t>EM00784</t>
  </si>
  <si>
    <t>EM00785</t>
  </si>
  <si>
    <t>EM00786</t>
  </si>
  <si>
    <t>EM00787</t>
  </si>
  <si>
    <t>EM00788</t>
  </si>
  <si>
    <t>EM00789</t>
  </si>
  <si>
    <t>EM00790</t>
  </si>
  <si>
    <t>EM00791</t>
  </si>
  <si>
    <t>EM00792</t>
  </si>
  <si>
    <t>EM00793</t>
  </si>
  <si>
    <t>EM00794</t>
  </si>
  <si>
    <t>EM00795</t>
  </si>
  <si>
    <t>EM00796</t>
  </si>
  <si>
    <t>EM00797</t>
  </si>
  <si>
    <t>EM00798</t>
  </si>
  <si>
    <t>EM00799</t>
  </si>
  <si>
    <t>EM00800</t>
  </si>
  <si>
    <t>EM00801</t>
  </si>
  <si>
    <t>EM00802</t>
  </si>
  <si>
    <t>EM00803</t>
  </si>
  <si>
    <t>EM00804</t>
  </si>
  <si>
    <t>EM00805</t>
  </si>
  <si>
    <t>EM00806</t>
  </si>
  <si>
    <t>EM00807</t>
  </si>
  <si>
    <t>EM00808</t>
  </si>
  <si>
    <t>EM00809</t>
  </si>
  <si>
    <t>EM00810</t>
  </si>
  <si>
    <t>EM00811</t>
  </si>
  <si>
    <t>EM00812</t>
  </si>
  <si>
    <t>EM00813</t>
  </si>
  <si>
    <t>EM00814</t>
  </si>
  <si>
    <t>EM00815</t>
  </si>
  <si>
    <t>EM00816</t>
  </si>
  <si>
    <t>EM00817</t>
  </si>
  <si>
    <t>EM00818</t>
  </si>
  <si>
    <t>EM00819</t>
  </si>
  <si>
    <t>EM00820</t>
  </si>
  <si>
    <t>EM00821</t>
  </si>
  <si>
    <t>EM00822</t>
  </si>
  <si>
    <t>EM00823</t>
  </si>
  <si>
    <t>EM00824</t>
  </si>
  <si>
    <t>EM00825</t>
  </si>
  <si>
    <t>EM00826</t>
  </si>
  <si>
    <t>EM00827</t>
  </si>
  <si>
    <t>EM00828</t>
  </si>
  <si>
    <t>EM00829</t>
  </si>
  <si>
    <t>EM00830</t>
  </si>
  <si>
    <t>EM00831</t>
  </si>
  <si>
    <t>EM00832</t>
  </si>
  <si>
    <t>EM00833</t>
  </si>
  <si>
    <t>EM00834</t>
  </si>
  <si>
    <t>EM00835</t>
  </si>
  <si>
    <t>EM00836</t>
  </si>
  <si>
    <t>EM00837</t>
  </si>
  <si>
    <t>EM00838</t>
  </si>
  <si>
    <t>EM00839</t>
  </si>
  <si>
    <t>EM00840</t>
  </si>
  <si>
    <t>EM00841</t>
  </si>
  <si>
    <t>EM00842</t>
  </si>
  <si>
    <t>EM00843</t>
  </si>
  <si>
    <t>EM00844</t>
  </si>
  <si>
    <t>EM00845</t>
  </si>
  <si>
    <t>EM00846</t>
  </si>
  <si>
    <t>EM00847</t>
  </si>
  <si>
    <t>EM00848</t>
  </si>
  <si>
    <t>EM00849</t>
  </si>
  <si>
    <t>EM00850</t>
  </si>
  <si>
    <t>EM00851</t>
  </si>
  <si>
    <t>EM00852</t>
  </si>
  <si>
    <t>EM00853</t>
  </si>
  <si>
    <t>EM00854</t>
  </si>
  <si>
    <t>EM00855</t>
  </si>
  <si>
    <t>EM00856</t>
  </si>
  <si>
    <t>EM00857</t>
  </si>
  <si>
    <t>EM00858</t>
  </si>
  <si>
    <t>EM00859</t>
  </si>
  <si>
    <t>EM00860</t>
  </si>
  <si>
    <t>EM00861</t>
  </si>
  <si>
    <t>EM00862</t>
  </si>
  <si>
    <t>EM00863</t>
  </si>
  <si>
    <t>EM00864</t>
  </si>
  <si>
    <t>EM00865</t>
  </si>
  <si>
    <t>EM00866</t>
  </si>
  <si>
    <t>EM00867</t>
  </si>
  <si>
    <t>EM00868</t>
  </si>
  <si>
    <t>EM00869</t>
  </si>
  <si>
    <t>EM00870</t>
  </si>
  <si>
    <t>EM00871</t>
  </si>
  <si>
    <t>EM00872</t>
  </si>
  <si>
    <t>EM00873</t>
  </si>
  <si>
    <t>EM00874</t>
  </si>
  <si>
    <t>EM00875</t>
  </si>
  <si>
    <t>EM00876</t>
  </si>
  <si>
    <t>EM00877</t>
  </si>
  <si>
    <t>EM00878</t>
  </si>
  <si>
    <t>EM00879</t>
  </si>
  <si>
    <t>EM00880</t>
  </si>
  <si>
    <t>EM00881</t>
  </si>
  <si>
    <t>EM00882</t>
  </si>
  <si>
    <t>EM00883</t>
  </si>
  <si>
    <t>EM00884</t>
  </si>
  <si>
    <t>EM00885</t>
  </si>
  <si>
    <t>EM00886</t>
  </si>
  <si>
    <t>EM00887</t>
  </si>
  <si>
    <t>EM00888</t>
  </si>
  <si>
    <t>EM00889</t>
  </si>
  <si>
    <t>EM00890</t>
  </si>
  <si>
    <t>EM00891</t>
  </si>
  <si>
    <t>EM00892</t>
  </si>
  <si>
    <t>EM00893</t>
  </si>
  <si>
    <t>EM00894</t>
  </si>
  <si>
    <t>EM00895</t>
  </si>
  <si>
    <t>EM00896</t>
  </si>
  <si>
    <t>EM00897</t>
  </si>
  <si>
    <t>EM00898</t>
  </si>
  <si>
    <t>EM00899</t>
  </si>
  <si>
    <t>EM00900</t>
  </si>
  <si>
    <t>EM00901</t>
  </si>
  <si>
    <t>EM00902</t>
  </si>
  <si>
    <t>EM00903</t>
  </si>
  <si>
    <t>EM00904</t>
  </si>
  <si>
    <t>EM00905</t>
  </si>
  <si>
    <t>EM00906</t>
  </si>
  <si>
    <t>EM00907</t>
  </si>
  <si>
    <t>EM00908</t>
  </si>
  <si>
    <t>EM00909</t>
  </si>
  <si>
    <t>EM00910</t>
  </si>
  <si>
    <t>EM00911</t>
  </si>
  <si>
    <t>EM00912</t>
  </si>
  <si>
    <t>EM00913</t>
  </si>
  <si>
    <t>EM00914</t>
  </si>
  <si>
    <t>EM00915</t>
  </si>
  <si>
    <t>EM00916</t>
  </si>
  <si>
    <t>EM00917</t>
  </si>
  <si>
    <t>EM00918</t>
  </si>
  <si>
    <t>EM00919</t>
  </si>
  <si>
    <t>EM00920</t>
  </si>
  <si>
    <t>EM00921</t>
  </si>
  <si>
    <t>EM00922</t>
  </si>
  <si>
    <t>EM00923</t>
  </si>
  <si>
    <t>EM00924</t>
  </si>
  <si>
    <t>EM00925</t>
  </si>
  <si>
    <t>EM00926</t>
  </si>
  <si>
    <t>EM00927</t>
  </si>
  <si>
    <t>EM00928</t>
  </si>
  <si>
    <t>EM00929</t>
  </si>
  <si>
    <t>EM00930</t>
  </si>
  <si>
    <t>EM00931</t>
  </si>
  <si>
    <t>EM00932</t>
  </si>
  <si>
    <t>EM00933</t>
  </si>
  <si>
    <t>EM00934</t>
  </si>
  <si>
    <t>EM00935</t>
  </si>
  <si>
    <t>EM00936</t>
  </si>
  <si>
    <t>EM00937</t>
  </si>
  <si>
    <t>EM00938</t>
  </si>
  <si>
    <t>EM00939</t>
  </si>
  <si>
    <t>EM00940</t>
  </si>
  <si>
    <t>EM00941</t>
  </si>
  <si>
    <t>EM00942</t>
  </si>
  <si>
    <t>EM00943</t>
  </si>
  <si>
    <t>EM00944</t>
  </si>
  <si>
    <t>EM00945</t>
  </si>
  <si>
    <t>EM00946</t>
  </si>
  <si>
    <t>EM00947</t>
  </si>
  <si>
    <t>EM00948</t>
  </si>
  <si>
    <t>EM00949</t>
  </si>
  <si>
    <t>EM00950</t>
  </si>
  <si>
    <t>EM00951</t>
  </si>
  <si>
    <t>EM00952</t>
  </si>
  <si>
    <t>EM00953</t>
  </si>
  <si>
    <t>EM00954</t>
  </si>
  <si>
    <t>EM00955</t>
  </si>
  <si>
    <t>EM00956</t>
  </si>
  <si>
    <t>EM00957</t>
  </si>
  <si>
    <t>EM00958</t>
  </si>
  <si>
    <t>EM00959</t>
  </si>
  <si>
    <t>EM00960</t>
  </si>
  <si>
    <t>EM00961</t>
  </si>
  <si>
    <t>EM00962</t>
  </si>
  <si>
    <t>EM00963</t>
  </si>
  <si>
    <t>EM00964</t>
  </si>
  <si>
    <t>EM00965</t>
  </si>
  <si>
    <t>EM00966</t>
  </si>
  <si>
    <t>EM00967</t>
  </si>
  <si>
    <t>EM00968</t>
  </si>
  <si>
    <t>EM00969</t>
  </si>
  <si>
    <t>EM00970</t>
  </si>
  <si>
    <t>EM00971</t>
  </si>
  <si>
    <t>EM00972</t>
  </si>
  <si>
    <t>EM00973</t>
  </si>
  <si>
    <t>EM00974</t>
  </si>
  <si>
    <t>EM00975</t>
  </si>
  <si>
    <t>EM00976</t>
  </si>
  <si>
    <t>EM00977</t>
  </si>
  <si>
    <t>EM00978</t>
  </si>
  <si>
    <t>EM00979</t>
  </si>
  <si>
    <t>EM00980</t>
  </si>
  <si>
    <t>EM00981</t>
  </si>
  <si>
    <t>EM00982</t>
  </si>
  <si>
    <t>EM00983</t>
  </si>
  <si>
    <t>EM00984</t>
  </si>
  <si>
    <t>EM00985</t>
  </si>
  <si>
    <t>EM00986</t>
  </si>
  <si>
    <t>EM00987</t>
  </si>
  <si>
    <t>EM00988</t>
  </si>
  <si>
    <t>EM00989</t>
  </si>
  <si>
    <t>EM00990</t>
  </si>
  <si>
    <t>EM00991</t>
  </si>
  <si>
    <t>EM00992</t>
  </si>
  <si>
    <t>EM00993</t>
  </si>
  <si>
    <t>EM00994</t>
  </si>
  <si>
    <t>EM00995</t>
  </si>
  <si>
    <t>EM00996</t>
  </si>
  <si>
    <t>EM00997</t>
  </si>
  <si>
    <t>EM00998</t>
  </si>
  <si>
    <t>EM00999</t>
  </si>
  <si>
    <t>EM001000</t>
  </si>
  <si>
    <t>EM001001</t>
  </si>
  <si>
    <t>EM001002</t>
  </si>
  <si>
    <t>EM001003</t>
  </si>
  <si>
    <t>EM001004</t>
  </si>
  <si>
    <t>EM001005</t>
  </si>
  <si>
    <t>EM001006</t>
  </si>
  <si>
    <t>EM001007</t>
  </si>
  <si>
    <t>EM001008</t>
  </si>
  <si>
    <t>EM001009</t>
  </si>
  <si>
    <t>EM001010</t>
  </si>
  <si>
    <t>EM001011</t>
  </si>
  <si>
    <t>EM001012</t>
  </si>
  <si>
    <t>EM001013</t>
  </si>
  <si>
    <t>EM001014</t>
  </si>
  <si>
    <t>EM001015</t>
  </si>
  <si>
    <t>EM001016</t>
  </si>
  <si>
    <t>EM001017</t>
  </si>
  <si>
    <t>EM001018</t>
  </si>
  <si>
    <t>EM001019</t>
  </si>
  <si>
    <t>EM001020</t>
  </si>
  <si>
    <t>EM001021</t>
  </si>
  <si>
    <t>EM001022</t>
  </si>
  <si>
    <t>EM001023</t>
  </si>
  <si>
    <t>EM001024</t>
  </si>
  <si>
    <t>EM001025</t>
  </si>
  <si>
    <t>EM001026</t>
  </si>
  <si>
    <t>EM001027</t>
  </si>
  <si>
    <t>EM001028</t>
  </si>
  <si>
    <t>EM001029</t>
  </si>
  <si>
    <t>EM001030</t>
  </si>
  <si>
    <t>EM001031</t>
  </si>
  <si>
    <t>EM001032</t>
  </si>
  <si>
    <t>EM001033</t>
  </si>
  <si>
    <t>EM001034</t>
  </si>
  <si>
    <t>EM001035</t>
  </si>
  <si>
    <t>EM001036</t>
  </si>
  <si>
    <t>EM001037</t>
  </si>
  <si>
    <t>EM001038</t>
  </si>
  <si>
    <t>EM001039</t>
  </si>
  <si>
    <t>EM001040</t>
  </si>
  <si>
    <t>EM001041</t>
  </si>
  <si>
    <t>EM001042</t>
  </si>
  <si>
    <t>EM001043</t>
  </si>
  <si>
    <t>EM001044</t>
  </si>
  <si>
    <t>EM001045</t>
  </si>
  <si>
    <t>EM001046</t>
  </si>
  <si>
    <t>EM001047</t>
  </si>
  <si>
    <t>EM001048</t>
  </si>
  <si>
    <t>EM001049</t>
  </si>
  <si>
    <t>EM001050</t>
  </si>
  <si>
    <t>EM001051</t>
  </si>
  <si>
    <t>EM001052</t>
  </si>
  <si>
    <t>EM001053</t>
  </si>
  <si>
    <t>EM001054</t>
  </si>
  <si>
    <t>EM001055</t>
  </si>
  <si>
    <t>EM001056</t>
  </si>
  <si>
    <t>EM001057</t>
  </si>
  <si>
    <t>EM001058</t>
  </si>
  <si>
    <t>EM001059</t>
  </si>
  <si>
    <t>EM001060</t>
  </si>
  <si>
    <t>EM001061</t>
  </si>
  <si>
    <t>EM001062</t>
  </si>
  <si>
    <t>EM001063</t>
  </si>
  <si>
    <t>EM001064</t>
  </si>
  <si>
    <t>EM001065</t>
  </si>
  <si>
    <t>EM001066</t>
  </si>
  <si>
    <t>EM001067</t>
  </si>
  <si>
    <t>EM001068</t>
  </si>
  <si>
    <t>EM001069</t>
  </si>
  <si>
    <t>EM001070</t>
  </si>
  <si>
    <t>EM001071</t>
  </si>
  <si>
    <t>EM001072</t>
  </si>
  <si>
    <t>EM001073</t>
  </si>
  <si>
    <t>EM001074</t>
  </si>
  <si>
    <t>EM001075</t>
  </si>
  <si>
    <t>EM001076</t>
  </si>
  <si>
    <t>EM001077</t>
  </si>
  <si>
    <t>EM001078</t>
  </si>
  <si>
    <t>EM001079</t>
  </si>
  <si>
    <t>EM001080</t>
  </si>
  <si>
    <t>EM001081</t>
  </si>
  <si>
    <t>EM001082</t>
  </si>
  <si>
    <t>EM001083</t>
  </si>
  <si>
    <t>EM001084</t>
  </si>
  <si>
    <t>EM001085</t>
  </si>
  <si>
    <t>EM001086</t>
  </si>
  <si>
    <t>EM001087</t>
  </si>
  <si>
    <t>EM001088</t>
  </si>
  <si>
    <t>EM001089</t>
  </si>
  <si>
    <t>EM001090</t>
  </si>
  <si>
    <t>EM001091</t>
  </si>
  <si>
    <t>EM001092</t>
  </si>
  <si>
    <t>EM001093</t>
  </si>
  <si>
    <t>EM001094</t>
  </si>
  <si>
    <t>EM001095</t>
  </si>
  <si>
    <t>EM001096</t>
  </si>
  <si>
    <t>EM001097</t>
  </si>
  <si>
    <t>EM001098</t>
  </si>
  <si>
    <t>EM001099</t>
  </si>
  <si>
    <t>EM001100</t>
  </si>
  <si>
    <t>EM001101</t>
  </si>
  <si>
    <t>EM001102</t>
  </si>
  <si>
    <t>EM001103</t>
  </si>
  <si>
    <t>EM001104</t>
  </si>
  <si>
    <t>EM001105</t>
  </si>
  <si>
    <t>EM001106</t>
  </si>
  <si>
    <t>EM001107</t>
  </si>
  <si>
    <t>EM001108</t>
  </si>
  <si>
    <t>EM001109</t>
  </si>
  <si>
    <t>EM001110</t>
  </si>
  <si>
    <t>EM001111</t>
  </si>
  <si>
    <t>EM001112</t>
  </si>
  <si>
    <t>EM001113</t>
  </si>
  <si>
    <t>EM001114</t>
  </si>
  <si>
    <t>EM001115</t>
  </si>
  <si>
    <t>EM001116</t>
  </si>
  <si>
    <t>EM001117</t>
  </si>
  <si>
    <t>EM001118</t>
  </si>
  <si>
    <t>EM001119</t>
  </si>
  <si>
    <t>EM001120</t>
  </si>
  <si>
    <t>EM001121</t>
  </si>
  <si>
    <t>EM001122</t>
  </si>
  <si>
    <t>EM001123</t>
  </si>
  <si>
    <t>EM001124</t>
  </si>
  <si>
    <t>EM001125</t>
  </si>
  <si>
    <t>EM001126</t>
  </si>
  <si>
    <t>EM001127</t>
  </si>
  <si>
    <t>EM001128</t>
  </si>
  <si>
    <t>EM001129</t>
  </si>
  <si>
    <t>EM001130</t>
  </si>
  <si>
    <t>EM001131</t>
  </si>
  <si>
    <t>EM001132</t>
  </si>
  <si>
    <t>EM001133</t>
  </si>
  <si>
    <t>EM001134</t>
  </si>
  <si>
    <t>EM001135</t>
  </si>
  <si>
    <t>EM001136</t>
  </si>
  <si>
    <t>EM001137</t>
  </si>
  <si>
    <t>EM001138</t>
  </si>
  <si>
    <t>EM001139</t>
  </si>
  <si>
    <t>EM001140</t>
  </si>
  <si>
    <t>EM001141</t>
  </si>
  <si>
    <t>EM001142</t>
  </si>
  <si>
    <t>EM001143</t>
  </si>
  <si>
    <t>EM001144</t>
  </si>
  <si>
    <t>EM001145</t>
  </si>
  <si>
    <t>EM001146</t>
  </si>
  <si>
    <t>EM001147</t>
  </si>
  <si>
    <t>EM001148</t>
  </si>
  <si>
    <t>EM001149</t>
  </si>
  <si>
    <t>EM001150</t>
  </si>
  <si>
    <t>EM001151</t>
  </si>
  <si>
    <t>EM001152</t>
  </si>
  <si>
    <t>EM001153</t>
  </si>
  <si>
    <t>EM001154</t>
  </si>
  <si>
    <t>EM001155</t>
  </si>
  <si>
    <t>EM001156</t>
  </si>
  <si>
    <t>EM001157</t>
  </si>
  <si>
    <t>EM001158</t>
  </si>
  <si>
    <t>EM001159</t>
  </si>
  <si>
    <t>EM001160</t>
  </si>
  <si>
    <t>EM001161</t>
  </si>
  <si>
    <t>EM001162</t>
  </si>
  <si>
    <t>EM001163</t>
  </si>
  <si>
    <t>EM001164</t>
  </si>
  <si>
    <t>EM001165</t>
  </si>
  <si>
    <t>EM001166</t>
  </si>
  <si>
    <t>EM001167</t>
  </si>
  <si>
    <t>EM001168</t>
  </si>
  <si>
    <t>EM001169</t>
  </si>
  <si>
    <t>EM001170</t>
  </si>
  <si>
    <t>EM001171</t>
  </si>
  <si>
    <t>EM001172</t>
  </si>
  <si>
    <t>EM001173</t>
  </si>
  <si>
    <t>EM001174</t>
  </si>
  <si>
    <t>EM001175</t>
  </si>
  <si>
    <t>EM001176</t>
  </si>
  <si>
    <t>EM001177</t>
  </si>
  <si>
    <t>EM001178</t>
  </si>
  <si>
    <t>EM001179</t>
  </si>
  <si>
    <t>EM001180</t>
  </si>
  <si>
    <t>EM001181</t>
  </si>
  <si>
    <t>EM001182</t>
  </si>
  <si>
    <t>EM001183</t>
  </si>
  <si>
    <t>EM001184</t>
  </si>
  <si>
    <t>EM001185</t>
  </si>
  <si>
    <t>EM001186</t>
  </si>
  <si>
    <t>EM001187</t>
  </si>
  <si>
    <t>EM001188</t>
  </si>
  <si>
    <t>EM001189</t>
  </si>
  <si>
    <t>EM001190</t>
  </si>
  <si>
    <t>EM001191</t>
  </si>
  <si>
    <t>EM001192</t>
  </si>
  <si>
    <t>EM001193</t>
  </si>
  <si>
    <t>EM001194</t>
  </si>
  <si>
    <t>EM001195</t>
  </si>
  <si>
    <t>EM001196</t>
  </si>
  <si>
    <t>EM001197</t>
  </si>
  <si>
    <t>EM001198</t>
  </si>
  <si>
    <t>EM001199</t>
  </si>
  <si>
    <t>EM001200</t>
  </si>
  <si>
    <t>EM001201</t>
  </si>
  <si>
    <t>EM001202</t>
  </si>
  <si>
    <t>EM001203</t>
  </si>
  <si>
    <t>EM001204</t>
  </si>
  <si>
    <t>EM001205</t>
  </si>
  <si>
    <t>EM001206</t>
  </si>
  <si>
    <t>EM001207</t>
  </si>
  <si>
    <t>EM001208</t>
  </si>
  <si>
    <t>EM001209</t>
  </si>
  <si>
    <t>EM001210</t>
  </si>
  <si>
    <t>EM001211</t>
  </si>
  <si>
    <t>EM001212</t>
  </si>
  <si>
    <t>EM001213</t>
  </si>
  <si>
    <t>EM001214</t>
  </si>
  <si>
    <t>EM001215</t>
  </si>
  <si>
    <t>EM001216</t>
  </si>
  <si>
    <t>EM001217</t>
  </si>
  <si>
    <t>EM001218</t>
  </si>
  <si>
    <t>EM001219</t>
  </si>
  <si>
    <t>EM001220</t>
  </si>
  <si>
    <t>EM001221</t>
  </si>
  <si>
    <t>EM001222</t>
  </si>
  <si>
    <t>EM001223</t>
  </si>
  <si>
    <t>EM001224</t>
  </si>
  <si>
    <t>EM001225</t>
  </si>
  <si>
    <t>EM001226</t>
  </si>
  <si>
    <t>EM001227</t>
  </si>
  <si>
    <t>EM001228</t>
  </si>
  <si>
    <t>EM001229</t>
  </si>
  <si>
    <t>EM001230</t>
  </si>
  <si>
    <t>EM001231</t>
  </si>
  <si>
    <t>EM001232</t>
  </si>
  <si>
    <t>EM001233</t>
  </si>
  <si>
    <t>EM001234</t>
  </si>
  <si>
    <t>EM001235</t>
  </si>
  <si>
    <t>EM001236</t>
  </si>
  <si>
    <t>EM001237</t>
  </si>
  <si>
    <t>EM001238</t>
  </si>
  <si>
    <t>EM001239</t>
  </si>
  <si>
    <t>EM001240</t>
  </si>
  <si>
    <t>EM001241</t>
  </si>
  <si>
    <t>EM001242</t>
  </si>
  <si>
    <t>EM001243</t>
  </si>
  <si>
    <t>EM001244</t>
  </si>
  <si>
    <t>EM001245</t>
  </si>
  <si>
    <t>EM001246</t>
  </si>
  <si>
    <t>EM001247</t>
  </si>
  <si>
    <t>EM001248</t>
  </si>
  <si>
    <t>EM001249</t>
  </si>
  <si>
    <t>EM001250</t>
  </si>
  <si>
    <t>EM001251</t>
  </si>
  <si>
    <t>EM001252</t>
  </si>
  <si>
    <t>EM001253</t>
  </si>
  <si>
    <t>EM001254</t>
  </si>
  <si>
    <t>EM001255</t>
  </si>
  <si>
    <t>EM001256</t>
  </si>
  <si>
    <t>EM001257</t>
  </si>
  <si>
    <t>EM001258</t>
  </si>
  <si>
    <t>EM001259</t>
  </si>
  <si>
    <t>EM001260</t>
  </si>
  <si>
    <t>EM001261</t>
  </si>
  <si>
    <t>EM001262</t>
  </si>
  <si>
    <t>EM001263</t>
  </si>
  <si>
    <t>EM001264</t>
  </si>
  <si>
    <t>EM001265</t>
  </si>
  <si>
    <t>EM001266</t>
  </si>
  <si>
    <t>EM001267</t>
  </si>
  <si>
    <t>EM001268</t>
  </si>
  <si>
    <t>EM001269</t>
  </si>
  <si>
    <t>EM001270</t>
  </si>
  <si>
    <t>EM001271</t>
  </si>
  <si>
    <t>EM001272</t>
  </si>
  <si>
    <t>EM001273</t>
  </si>
  <si>
    <t>EM001274</t>
  </si>
  <si>
    <t>EM001275</t>
  </si>
  <si>
    <t>EM001276</t>
  </si>
  <si>
    <t>EM001277</t>
  </si>
  <si>
    <t>EM001278</t>
  </si>
  <si>
    <t>EM001279</t>
  </si>
  <si>
    <t>EM001280</t>
  </si>
  <si>
    <t>EM001281</t>
  </si>
  <si>
    <t>EM001282</t>
  </si>
  <si>
    <t>EM001283</t>
  </si>
  <si>
    <t>EM001284</t>
  </si>
  <si>
    <t>EM001285</t>
  </si>
  <si>
    <t>EM001286</t>
  </si>
  <si>
    <t>EM001287</t>
  </si>
  <si>
    <t>EM001288</t>
  </si>
  <si>
    <t>EM001289</t>
  </si>
  <si>
    <t>EM001290</t>
  </si>
  <si>
    <t>EM001291</t>
  </si>
  <si>
    <t>EM001292</t>
  </si>
  <si>
    <t>EM001293</t>
  </si>
  <si>
    <t>EM001294</t>
  </si>
  <si>
    <t>EM001295</t>
  </si>
  <si>
    <t>EM001296</t>
  </si>
  <si>
    <t>EM001297</t>
  </si>
  <si>
    <t>EM001298</t>
  </si>
  <si>
    <t>EM001299</t>
  </si>
  <si>
    <t>EM001300</t>
  </si>
  <si>
    <t>EM001301</t>
  </si>
  <si>
    <t>EM001302</t>
  </si>
  <si>
    <t>EM001303</t>
  </si>
  <si>
    <t>EM001304</t>
  </si>
  <si>
    <t>EM001305</t>
  </si>
  <si>
    <t>EM001306</t>
  </si>
  <si>
    <t>EM001307</t>
  </si>
  <si>
    <t>EM001308</t>
  </si>
  <si>
    <t>EM001309</t>
  </si>
  <si>
    <t>EM001310</t>
  </si>
  <si>
    <t>EM001311</t>
  </si>
  <si>
    <t>EM001312</t>
  </si>
  <si>
    <t>EM001313</t>
  </si>
  <si>
    <t>EM001314</t>
  </si>
  <si>
    <t>EM001315</t>
  </si>
  <si>
    <t>EM001316</t>
  </si>
  <si>
    <t>EM001317</t>
  </si>
  <si>
    <t>EM001318</t>
  </si>
  <si>
    <t>EM001319</t>
  </si>
  <si>
    <t>EM001320</t>
  </si>
  <si>
    <t>EM001321</t>
  </si>
  <si>
    <t>EM001322</t>
  </si>
  <si>
    <t>EM001323</t>
  </si>
  <si>
    <t>EM001324</t>
  </si>
  <si>
    <t>EM001325</t>
  </si>
  <si>
    <t>EM001326</t>
  </si>
  <si>
    <t>EM001327</t>
  </si>
  <si>
    <t>EM001328</t>
  </si>
  <si>
    <t>EM001329</t>
  </si>
  <si>
    <t>EM001330</t>
  </si>
  <si>
    <t>EM001331</t>
  </si>
  <si>
    <t>EM001332</t>
  </si>
  <si>
    <t>EM001333</t>
  </si>
  <si>
    <t>EM001334</t>
  </si>
  <si>
    <t>EM001335</t>
  </si>
  <si>
    <t>EM001336</t>
  </si>
  <si>
    <t>EM001337</t>
  </si>
  <si>
    <t>EM001338</t>
  </si>
  <si>
    <t>EM001339</t>
  </si>
  <si>
    <t>EM001340</t>
  </si>
  <si>
    <t>EM001341</t>
  </si>
  <si>
    <t>EM001342</t>
  </si>
  <si>
    <t>EM001343</t>
  </si>
  <si>
    <t>EM001344</t>
  </si>
  <si>
    <t>EM001345</t>
  </si>
  <si>
    <t>EM001346</t>
  </si>
  <si>
    <t>EM001347</t>
  </si>
  <si>
    <t>EM001348</t>
  </si>
  <si>
    <t>EM001349</t>
  </si>
  <si>
    <t>EM001350</t>
  </si>
  <si>
    <t>EM001351</t>
  </si>
  <si>
    <t>EM001352</t>
  </si>
  <si>
    <t>EM001353</t>
  </si>
  <si>
    <t>EM001354</t>
  </si>
  <si>
    <t>EM001355</t>
  </si>
  <si>
    <t>EM001356</t>
  </si>
  <si>
    <t>EM001357</t>
  </si>
  <si>
    <t>EM001358</t>
  </si>
  <si>
    <t>EM001359</t>
  </si>
  <si>
    <t>EM001360</t>
  </si>
  <si>
    <t>EM001361</t>
  </si>
  <si>
    <t>EM001362</t>
  </si>
  <si>
    <t>EM001363</t>
  </si>
  <si>
    <t>EM001364</t>
  </si>
  <si>
    <t>EM001365</t>
  </si>
  <si>
    <t>EM001366</t>
  </si>
  <si>
    <t>EM001367</t>
  </si>
  <si>
    <t>EM001368</t>
  </si>
  <si>
    <t>EM001369</t>
  </si>
  <si>
    <t>EM001370</t>
  </si>
  <si>
    <t>EM001371</t>
  </si>
  <si>
    <t>EM001372</t>
  </si>
  <si>
    <t>EM001373</t>
  </si>
  <si>
    <t>EM001374</t>
  </si>
  <si>
    <t>EM001375</t>
  </si>
  <si>
    <t>EM001376</t>
  </si>
  <si>
    <t>EM001377</t>
  </si>
  <si>
    <t>EM001378</t>
  </si>
  <si>
    <t>EM001379</t>
  </si>
  <si>
    <t>EM001380</t>
  </si>
  <si>
    <t>EM001381</t>
  </si>
  <si>
    <t>EM001382</t>
  </si>
  <si>
    <t>EM001383</t>
  </si>
  <si>
    <t>EM001384</t>
  </si>
  <si>
    <t>EM001385</t>
  </si>
  <si>
    <t>EM001386</t>
  </si>
  <si>
    <t>EM001387</t>
  </si>
  <si>
    <t>EM001388</t>
  </si>
  <si>
    <t>EM001389</t>
  </si>
  <si>
    <t>EM001390</t>
  </si>
  <si>
    <t>EM001391</t>
  </si>
  <si>
    <t>EM001392</t>
  </si>
  <si>
    <t>EM001393</t>
  </si>
  <si>
    <t>EM001394</t>
  </si>
  <si>
    <t>EM001395</t>
  </si>
  <si>
    <t>EM001396</t>
  </si>
  <si>
    <t>EM001397</t>
  </si>
  <si>
    <t>EM001398</t>
  </si>
  <si>
    <t>EM001399</t>
  </si>
  <si>
    <t>EM001400</t>
  </si>
  <si>
    <t>EM001401</t>
  </si>
  <si>
    <t>EM001402</t>
  </si>
  <si>
    <t>EM001403</t>
  </si>
  <si>
    <t>EM001404</t>
  </si>
  <si>
    <t>EM001405</t>
  </si>
  <si>
    <t>EM001406</t>
  </si>
  <si>
    <t>EM001407</t>
  </si>
  <si>
    <t>EM001408</t>
  </si>
  <si>
    <t>EM001409</t>
  </si>
  <si>
    <t>EM001410</t>
  </si>
  <si>
    <t>EM001411</t>
  </si>
  <si>
    <t>EM001412</t>
  </si>
  <si>
    <t>EM001413</t>
  </si>
  <si>
    <t>EM001414</t>
  </si>
  <si>
    <t>EM001415</t>
  </si>
  <si>
    <t>EM001416</t>
  </si>
  <si>
    <t>EM001417</t>
  </si>
  <si>
    <t>EM001418</t>
  </si>
  <si>
    <t>EM001419</t>
  </si>
  <si>
    <t>EM001420</t>
  </si>
  <si>
    <t>EM001421</t>
  </si>
  <si>
    <t>EM001422</t>
  </si>
  <si>
    <t>EM001423</t>
  </si>
  <si>
    <t>EM001424</t>
  </si>
  <si>
    <t>EM001425</t>
  </si>
  <si>
    <t>EM001426</t>
  </si>
  <si>
    <t>EM001427</t>
  </si>
  <si>
    <t>EM001428</t>
  </si>
  <si>
    <t>EM001429</t>
  </si>
  <si>
    <t>EM001430</t>
  </si>
  <si>
    <t>EM001431</t>
  </si>
  <si>
    <t>EM001432</t>
  </si>
  <si>
    <t>EM001433</t>
  </si>
  <si>
    <t>EM001434</t>
  </si>
  <si>
    <t>EM001435</t>
  </si>
  <si>
    <t>EM001436</t>
  </si>
  <si>
    <t>EM001437</t>
  </si>
  <si>
    <t>EM001438</t>
  </si>
  <si>
    <t>EM001439</t>
  </si>
  <si>
    <t>EM001440</t>
  </si>
  <si>
    <t>EM001441</t>
  </si>
  <si>
    <t>EM001442</t>
  </si>
  <si>
    <t>EM001443</t>
  </si>
  <si>
    <t>EM001444</t>
  </si>
  <si>
    <t>EM001445</t>
  </si>
  <si>
    <t>EM001446</t>
  </si>
  <si>
    <t>EM001447</t>
  </si>
  <si>
    <t>EM001448</t>
  </si>
  <si>
    <t>EM001449</t>
  </si>
  <si>
    <t>EM001450</t>
  </si>
  <si>
    <t>EM001451</t>
  </si>
  <si>
    <t>EM001452</t>
  </si>
  <si>
    <t>EM001453</t>
  </si>
  <si>
    <t>EM001454</t>
  </si>
  <si>
    <t>EM001455</t>
  </si>
  <si>
    <t>EM001456</t>
  </si>
  <si>
    <t>EM001457</t>
  </si>
  <si>
    <t>EM001458</t>
  </si>
  <si>
    <t>EM001459</t>
  </si>
  <si>
    <t>EM001460</t>
  </si>
  <si>
    <t>EM001461</t>
  </si>
  <si>
    <t>EM001479</t>
  </si>
  <si>
    <t>EM001480</t>
  </si>
  <si>
    <t>EMP ID</t>
  </si>
  <si>
    <t>DailyRate ($)</t>
  </si>
  <si>
    <t>Hiring Date</t>
  </si>
  <si>
    <t>SE</t>
  </si>
  <si>
    <t>Sales Executive</t>
  </si>
  <si>
    <t>RS</t>
  </si>
  <si>
    <t>Research Scientist</t>
  </si>
  <si>
    <t>HC</t>
  </si>
  <si>
    <t>Healthcare Representative</t>
  </si>
  <si>
    <t>MD</t>
  </si>
  <si>
    <t>Manufacturing Director</t>
  </si>
  <si>
    <t>AM</t>
  </si>
  <si>
    <t>Manager</t>
  </si>
  <si>
    <t>LT</t>
  </si>
  <si>
    <t>Laboratory Technician</t>
  </si>
  <si>
    <t>HR</t>
  </si>
  <si>
    <t>RD</t>
  </si>
  <si>
    <t>Research Director</t>
  </si>
  <si>
    <t>SR</t>
  </si>
  <si>
    <t>Sales Representative</t>
  </si>
  <si>
    <t>Job Role</t>
  </si>
  <si>
    <t>Prefix</t>
  </si>
  <si>
    <t>Education</t>
  </si>
  <si>
    <t xml:space="preserve"> Gender</t>
  </si>
  <si>
    <t>Medical</t>
  </si>
  <si>
    <t>Male</t>
  </si>
  <si>
    <t>Life Sciences</t>
  </si>
  <si>
    <t>Marketing</t>
  </si>
  <si>
    <t>Female</t>
  </si>
  <si>
    <t>Other</t>
  </si>
  <si>
    <t>Technical Degree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</si>
  <si>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Find total employees in sales department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</si>
  <si>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Find total employees in Research &amp; Development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</si>
  <si>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Find total female employees</t>
    </r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</si>
  <si>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Can you find which month had the most hiring done?</t>
    </r>
  </si>
  <si>
    <t>Month</t>
  </si>
  <si>
    <t>Day</t>
  </si>
  <si>
    <t>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</si>
  <si>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</si>
  <si>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</si>
  <si>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</si>
  <si>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</si>
  <si>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</si>
  <si>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</si>
  <si>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</si>
  <si>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</si>
  <si>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</si>
  <si>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</si>
  <si>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</si>
  <si>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</si>
  <si>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Months List</t>
  </si>
  <si>
    <r>
      <t>·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Arial"/>
        <family val="2"/>
      </rPr>
      <t>How many males were hired in 2024?</t>
    </r>
  </si>
  <si>
    <t xml:space="preserve">Hiring Count of Months </t>
  </si>
  <si>
    <t>Row Labels</t>
  </si>
  <si>
    <t>Grand Total</t>
  </si>
  <si>
    <t>(blank)</t>
  </si>
  <si>
    <t>Count of Month</t>
  </si>
  <si>
    <t>Column Labels</t>
  </si>
  <si>
    <t>2024</t>
  </si>
  <si>
    <t>2025</t>
  </si>
  <si>
    <t>Count of EMP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</si>
</sst>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sz val="12"/>
      <color theme="1"/>
      <name val="Symbol"/>
      <family val="1"/>
      <charset val="2"/>
    </font>
    <font>
      <sz val="7"/>
      <color theme="1"/>
      <name val="Times New Roman"/>
      <family val="1"/>
    </font>
    <font>
      <b/>
      <sz val="11"/>
      <color rgb="FFFF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NumberFormat="1"/>
    <xf numFmtId="0" fontId="19" fillId="0" borderId="0" xfId="0" applyFont="1" applyAlignment="1">
      <alignment horizontal="left" vertical="center" indent="4"/>
    </xf>
    <xf numFmtId="0" fontId="21" fillId="0" borderId="0" xfId="0" applyFont="1"/>
    <xf numFmtId="0" fontId="0" fillId="0" borderId="0" xfId="0" applyNumberFormat="1" applyAlignment="1">
      <alignment vertical="top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tyles" Target="styles.xml"/><Relationship Id="rId25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pivotCacheDefinition" Target="pivotCache/pivotCacheDefinition2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132.089742824071" createdVersion="6" refreshedVersion="6" minRefreshableVersion="3" recordCount="1466">
  <cacheSource type="worksheet">
    <worksheetSource ref="L1:L1048576" sheet="EmployeeDataSample"/>
  </cacheSource>
  <cacheFields count="1">
    <cacheField name="JobSatisfaction" numFmtId="0">
      <sharedItems containsString="0" containsBlank="1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Windows User" refreshedDate="46132.080430787035" backgroundQuery="1" createdVersion="6" refreshedVersion="6" minRefreshableVersion="3" recordCount="0" supportSubquery="1" supportAdvancedDrill="1">
  <cacheSource type="external" connectionId="1"/>
  <cacheFields count="2">
    <cacheField name="[Table1].[Month].[Month]" caption="Month" numFmtId="0" hierarchy="21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Count of Month]" caption="Count of Month" numFmtId="0" hierarchy="31" level="32767"/>
  </cacheFields>
  <cacheHierarchies count="37">
    <cacheHierarchy uniqueName="[Range].[Months List]" caption="Months List" attribute="1" defaultMemberUniqueName="[Range].[Months List].[All]" allUniqueName="[Range].[Months List].[All]" dimensionUniqueName="[Range]" displayFolder="" count="0" memberValueDatatype="130" unbalanced="0"/>
    <cacheHierarchy uniqueName="[Range1].[Month]" caption="Month" attribute="1" defaultMemberUniqueName="[Range1].[Month].[All]" allUniqueName="[Range1].[Month].[All]" dimensionUniqueName="[Range1]" displayFolder="" count="0" memberValueDatatype="130" unbalanced="0"/>
    <cacheHierarchy uniqueName="[Range2].[JobSatisfaction]" caption="JobSatisfaction" attribute="1" defaultMemberUniqueName="[Range2].[JobSatisfaction].[All]" allUniqueName="[Range2].[JobSatisfaction].[All]" dimensionUniqueName="[Range2]" displayFolder="" count="0" memberValueDatatype="20" unbalanced="0"/>
    <cacheHierarchy uniqueName="[Table1].[EMP ID]" caption="EMP ID" attribute="1" defaultMemberUniqueName="[Table1].[EMP ID].[All]" allUniqueName="[Table1].[EMP ID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DailyRate ($)]" caption="DailyRate ($)" attribute="1" defaultMemberUniqueName="[Table1].[DailyRate ($)].[All]" allUniqueName="[Table1].[DailyRate ($)].[All]" dimensionUniqueName="[Table1]" displayFolder="" count="0" memberValueDatatype="2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Education]" caption="Education" attribute="1" defaultMemberUniqueName="[Table1].[Education].[All]" allUniqueName="[Table1].[Education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HourlyRate]" caption="HourlyRate" attribute="1" defaultMemberUniqueName="[Table1].[HourlyRate].[All]" allUniqueName="[Table1].[HourlyRate].[All]" dimensionUniqueName="[Table1]" displayFolder="" count="0" memberValueDatatype="20" unbalanced="0"/>
    <cacheHierarchy uniqueName="[Table1].[JobInvolvement]" caption="JobInvolvement" attribute="1" defaultMemberUniqueName="[Table1].[JobInvolvement].[All]" allUniqueName="[Table1].[JobInvolvement].[All]" dimensionUniqueName="[Table1]" displayFolder="" count="0" memberValueDatatype="20" unbalanced="0"/>
    <cacheHierarchy uniqueName="[Table1].[JobLevel]" caption="JobLevel" attribute="1" defaultMemberUniqueName="[Table1].[JobLevel].[All]" allUniqueName="[Table1].[JobLevel].[All]" dimensionUniqueName="[Table1]" displayFolder="" count="0" memberValueDatatype="20" unbalanced="0"/>
    <cacheHierarchy uniqueName="[Table1].[Prefix]" caption="Prefix" attribute="1" defaultMemberUniqueName="[Table1].[Prefix].[All]" allUniqueName="[Table1].[Prefix].[All]" dimensionUniqueName="[Table1]" displayFolder="" count="0" memberValueDatatype="130" unbalanced="0"/>
    <cacheHierarchy uniqueName="[Table1].[Job Role]" caption="Job Role" attribute="1" defaultMemberUniqueName="[Table1].[Job Role].[All]" allUniqueName="[Table1].[Job Role].[All]" dimensionUniqueName="[Table1]" displayFolder="" count="0" memberValueDatatype="130" unbalanced="0"/>
    <cacheHierarchy uniqueName="[Table1].[JobSatisfaction]" caption="JobSatisfaction" attribute="1" defaultMemberUniqueName="[Table1].[JobSatisfaction].[All]" allUniqueName="[Table1].[JobSatisfaction].[All]" dimensionUniqueName="[Table1]" displayFolder="" count="0" memberValueDatatype="20" unbalanced="0"/>
    <cacheHierarchy uniqueName="[Table1].[MaritalStatus]" caption="MaritalStatus" attribute="1" defaultMemberUniqueName="[Table1].[MaritalStatus].[All]" allUniqueName="[Table1].[MaritalStatus].[All]" dimensionUniqueName="[Table1]" displayFolder="" count="0" memberValueDatatype="130" unbalanced="0"/>
    <cacheHierarchy uniqueName="[Table1].[NumCompaniesWorked]" caption="NumCompaniesWorked" attribute="1" defaultMemberUniqueName="[Table1].[NumCompaniesWorked].[All]" allUniqueName="[Table1].[NumCompaniesWorked].[All]" dimensionUniqueName="[Table1]" displayFolder="" count="0" memberValueDatatype="20" unbalanced="0"/>
    <cacheHierarchy uniqueName="[Table1].[OverTime]" caption="OverTime" attribute="1" defaultMemberUniqueName="[Table1].[OverTime].[All]" allUniqueName="[Table1].[OverTime].[All]" dimensionUniqueName="[Table1]" displayFolder="" count="0" memberValueDatatype="130" unbalanced="0"/>
    <cacheHierarchy uniqueName="[Table1].[TotalWorkingYears]" caption="TotalWorkingYears" attribute="1" defaultMemberUniqueName="[Table1].[TotalWorkingYears].[All]" allUniqueName="[Table1].[TotalWorkingYears].[All]" dimensionUniqueName="[Table1]" displayFolder="" count="0" memberValueDatatype="20" unbalanced="0"/>
    <cacheHierarchy uniqueName="[Table1].[Hiring Date]" caption="Hiring Date" attribute="1" defaultMemberUniqueName="[Table1].[Hiring Date].[All]" allUniqueName="[Table1].[Hiring Date].[All]" dimensionUniqueName="[Table1]" displayFolder="" count="0" memberValueDatatype="20" unbalanced="0"/>
    <cacheHierarchy uniqueName="[Table1].[Months List]" caption="Months List" attribute="1" defaultMemberUniqueName="[Table1].[Months List].[All]" allUniqueName="[Table1].[Months List].[All]" dimensionUniqueName="[Table1]" displayFolder="" count="0" memberValueDatatype="130" unbalanced="0"/>
    <cacheHierarchy uniqueName="[Table1].[Month]" caption="Month" attribute="1" defaultMemberUniqueName="[Table1].[Month].[All]" allUniqueName="[Table1].[Month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Hiring Count of Months]" caption="Hiring Count of Months" attribute="1" defaultMemberUniqueName="[Table1].[Hiring Count of Months].[All]" allUniqueName="[Table1].[Hiring Count of Months].[All]" dimensionUniqueName="[Table1]" displayFolder="" count="0" memberValueDatatype="2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XL_Count Range1]" caption="__XL_Count Range1" measure="1" displayFolder="" measureGroup="Range1" count="0" hidden="1"/>
    <cacheHierarchy uniqueName="[Measures].[__XL_Count Range2]" caption="__XL_Count Range2" measure="1" displayFolder="" measureGroup="Range2" count="0" hidden="1"/>
    <cacheHierarchy uniqueName="[Measures].[__No measures defined]" caption="__No measures defined" measure="1" displayFolder="" count="0" hidden="1"/>
    <cacheHierarchy uniqueName="[Measures].[Sum of Hiring Count of Months]" caption="Sum of Hiring Count of Months" measure="1" displayFolder="" measureGroup="Table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Month]" caption="Count of Month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Hiring Date]" caption="Sum of Hiring Date" measure="1" displayFolder="" measureGroup="Table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EMP ID]" caption="Count of EMP I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JobSatisfaction]" caption="Sum of JobSatisfaction" measure="1" displayFolder="" measureGroup="Range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JobLevel]" caption="Sum of JobLevel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1" uniqueName="[Range1]" caption="Range1"/>
    <dimension name="Range2" uniqueName="[Range2]" caption="Range2"/>
    <dimension name="Table1" uniqueName="[Table1]" caption="Table1"/>
  </dimensions>
  <measureGroups count="4">
    <measureGroup name="Range" caption="Range"/>
    <measureGroup name="Range1" caption="Range1"/>
    <measureGroup name="Range2" caption="Range2"/>
    <measureGroup name="Table1" caption="Table1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Windows User" refreshedDate="46132.083926620369" backgroundQuery="1" createdVersion="6" refreshedVersion="6" minRefreshableVersion="3" recordCount="0" supportSubquery="1" supportAdvancedDrill="1">
  <cacheSource type="external" connectionId="1"/>
  <cacheFields count="3">
    <cacheField name="[Table1].[Gender].[Gender]" caption="Gender" numFmtId="0" hierarchy="8" level="1">
      <sharedItems count="2">
        <s v="Female"/>
        <s v="Male"/>
      </sharedItems>
    </cacheField>
    <cacheField name="[Table1].[Year].[Year]" caption="Year" numFmtId="0" hierarchy="24" level="1">
      <sharedItems count="2">
        <s v="2024"/>
        <s v="2025"/>
      </sharedItems>
    </cacheField>
    <cacheField name="[Measures].[Count of EMP ID]" caption="Count of EMP ID" numFmtId="0" hierarchy="34" level="32767"/>
  </cacheFields>
  <cacheHierarchies count="37">
    <cacheHierarchy uniqueName="[Range].[Months List]" caption="Months List" attribute="1" defaultMemberUniqueName="[Range].[Months List].[All]" allUniqueName="[Range].[Months List].[All]" dimensionUniqueName="[Range]" displayFolder="" count="0" memberValueDatatype="130" unbalanced="0"/>
    <cacheHierarchy uniqueName="[Range1].[Month]" caption="Month" attribute="1" defaultMemberUniqueName="[Range1].[Month].[All]" allUniqueName="[Range1].[Month].[All]" dimensionUniqueName="[Range1]" displayFolder="" count="0" memberValueDatatype="130" unbalanced="0"/>
    <cacheHierarchy uniqueName="[Range2].[JobSatisfaction]" caption="JobSatisfaction" attribute="1" defaultMemberUniqueName="[Range2].[JobSatisfaction].[All]" allUniqueName="[Range2].[JobSatisfaction].[All]" dimensionUniqueName="[Range2]" displayFolder="" count="0" memberValueDatatype="20" unbalanced="0"/>
    <cacheHierarchy uniqueName="[Table1].[EMP ID]" caption="EMP ID" attribute="1" defaultMemberUniqueName="[Table1].[EMP ID].[All]" allUniqueName="[Table1].[EMP ID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DailyRate ($)]" caption="DailyRate ($)" attribute="1" defaultMemberUniqueName="[Table1].[DailyRate ($)].[All]" allUniqueName="[Table1].[DailyRate ($)].[All]" dimensionUniqueName="[Table1]" displayFolder="" count="0" memberValueDatatype="2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Education]" caption="Education" attribute="1" defaultMemberUniqueName="[Table1].[Education].[All]" allUniqueName="[Table1].[Education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HourlyRate]" caption="HourlyRate" attribute="1" defaultMemberUniqueName="[Table1].[HourlyRate].[All]" allUniqueName="[Table1].[HourlyRate].[All]" dimensionUniqueName="[Table1]" displayFolder="" count="0" memberValueDatatype="20" unbalanced="0"/>
    <cacheHierarchy uniqueName="[Table1].[JobInvolvement]" caption="JobInvolvement" attribute="1" defaultMemberUniqueName="[Table1].[JobInvolvement].[All]" allUniqueName="[Table1].[JobInvolvement].[All]" dimensionUniqueName="[Table1]" displayFolder="" count="0" memberValueDatatype="20" unbalanced="0"/>
    <cacheHierarchy uniqueName="[Table1].[JobLevel]" caption="JobLevel" attribute="1" defaultMemberUniqueName="[Table1].[JobLevel].[All]" allUniqueName="[Table1].[JobLevel].[All]" dimensionUniqueName="[Table1]" displayFolder="" count="0" memberValueDatatype="20" unbalanced="0"/>
    <cacheHierarchy uniqueName="[Table1].[Prefix]" caption="Prefix" attribute="1" defaultMemberUniqueName="[Table1].[Prefix].[All]" allUniqueName="[Table1].[Prefix].[All]" dimensionUniqueName="[Table1]" displayFolder="" count="0" memberValueDatatype="130" unbalanced="0"/>
    <cacheHierarchy uniqueName="[Table1].[Job Role]" caption="Job Role" attribute="1" defaultMemberUniqueName="[Table1].[Job Role].[All]" allUniqueName="[Table1].[Job Role].[All]" dimensionUniqueName="[Table1]" displayFolder="" count="0" memberValueDatatype="130" unbalanced="0"/>
    <cacheHierarchy uniqueName="[Table1].[JobSatisfaction]" caption="JobSatisfaction" attribute="1" defaultMemberUniqueName="[Table1].[JobSatisfaction].[All]" allUniqueName="[Table1].[JobSatisfaction].[All]" dimensionUniqueName="[Table1]" displayFolder="" count="0" memberValueDatatype="20" unbalanced="0"/>
    <cacheHierarchy uniqueName="[Table1].[MaritalStatus]" caption="MaritalStatus" attribute="1" defaultMemberUniqueName="[Table1].[MaritalStatus].[All]" allUniqueName="[Table1].[MaritalStatus].[All]" dimensionUniqueName="[Table1]" displayFolder="" count="0" memberValueDatatype="130" unbalanced="0"/>
    <cacheHierarchy uniqueName="[Table1].[NumCompaniesWorked]" caption="NumCompaniesWorked" attribute="1" defaultMemberUniqueName="[Table1].[NumCompaniesWorked].[All]" allUniqueName="[Table1].[NumCompaniesWorked].[All]" dimensionUniqueName="[Table1]" displayFolder="" count="0" memberValueDatatype="20" unbalanced="0"/>
    <cacheHierarchy uniqueName="[Table1].[OverTime]" caption="OverTime" attribute="1" defaultMemberUniqueName="[Table1].[OverTime].[All]" allUniqueName="[Table1].[OverTime].[All]" dimensionUniqueName="[Table1]" displayFolder="" count="0" memberValueDatatype="130" unbalanced="0"/>
    <cacheHierarchy uniqueName="[Table1].[TotalWorkingYears]" caption="TotalWorkingYears" attribute="1" defaultMemberUniqueName="[Table1].[TotalWorkingYears].[All]" allUniqueName="[Table1].[TotalWorkingYears].[All]" dimensionUniqueName="[Table1]" displayFolder="" count="0" memberValueDatatype="20" unbalanced="0"/>
    <cacheHierarchy uniqueName="[Table1].[Hiring Date]" caption="Hiring Date" attribute="1" defaultMemberUniqueName="[Table1].[Hiring Date].[All]" allUniqueName="[Table1].[Hiring Date].[All]" dimensionUniqueName="[Table1]" displayFolder="" count="0" memberValueDatatype="20" unbalanced="0"/>
    <cacheHierarchy uniqueName="[Table1].[Months List]" caption="Months List" attribute="1" defaultMemberUniqueName="[Table1].[Months List].[All]" allUniqueName="[Table1].[Months List].[All]" dimensionUniqueName="[Table1]" displayFolder="" count="0" memberValueDatatype="130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Hiring Count of Months]" caption="Hiring Count of Months" attribute="1" defaultMemberUniqueName="[Table1].[Hiring Count of Months].[All]" allUniqueName="[Table1].[Hiring Count of Months].[All]" dimensionUniqueName="[Table1]" displayFolder="" count="0" memberValueDatatype="2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2" memberValueDatatype="130" unbalanced="0">
      <fieldsUsage count="2">
        <fieldUsage x="-1"/>
        <fieldUsage x="1"/>
      </fieldsUsage>
    </cacheHierarchy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XL_Count Range1]" caption="__XL_Count Range1" measure="1" displayFolder="" measureGroup="Range1" count="0" hidden="1"/>
    <cacheHierarchy uniqueName="[Measures].[__XL_Count Range2]" caption="__XL_Count Range2" measure="1" displayFolder="" measureGroup="Range2" count="0" hidden="1"/>
    <cacheHierarchy uniqueName="[Measures].[__No measures defined]" caption="__No measures defined" measure="1" displayFolder="" count="0" hidden="1"/>
    <cacheHierarchy uniqueName="[Measures].[Sum of Hiring Count of Months]" caption="Sum of Hiring Count of Months" measure="1" displayFolder="" measureGroup="Table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Month]" caption="Count of Month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Hiring Date]" caption="Sum of Hiring Date" measure="1" displayFolder="" measureGroup="Table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EMP ID]" caption="Count of EMP ID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JobSatisfaction]" caption="Sum of JobSatisfaction" measure="1" displayFolder="" measureGroup="Range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JobLevel]" caption="Sum of JobLevel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1" uniqueName="[Range1]" caption="Range1"/>
    <dimension name="Range2" uniqueName="[Range2]" caption="Range2"/>
    <dimension name="Table1" uniqueName="[Table1]" caption="Table1"/>
  </dimensions>
  <measureGroups count="4">
    <measureGroup name="Range" caption="Range"/>
    <measureGroup name="Range1" caption="Range1"/>
    <measureGroup name="Range2" caption="Range2"/>
    <measureGroup name="Table1" caption="Table1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Windows User" refreshedDate="46132.090994560182" backgroundQuery="1" createdVersion="6" refreshedVersion="6" minRefreshableVersion="3" recordCount="0" supportSubquery="1" supportAdvancedDrill="1">
  <cacheSource type="external" connectionId="1"/>
  <cacheFields count="2">
    <cacheField name="[Range2].[JobSatisfaction].[JobSatisfaction]" caption="JobSatisfaction" numFmtId="0" hierarchy="2" level="1">
      <sharedItems containsString="0" containsBlank="1" containsNumber="1" containsInteger="1" minValue="1" maxValue="4" count="5">
        <m/>
        <n v="1"/>
        <n v="2"/>
        <n v="3"/>
        <n v="4"/>
      </sharedItems>
      <extLst>
        <ext xmlns:x15="http://schemas.microsoft.com/office/spreadsheetml/2010/11/main" uri="{4F2E5C28-24EA-4eb8-9CBF-B6C8F9C3D259}">
          <x15:cachedUniqueNames>
            <x15:cachedUniqueName index="1" name="[Range2].[JobSatisfaction].&amp;[1]"/>
            <x15:cachedUniqueName index="2" name="[Range2].[JobSatisfaction].&amp;[2]"/>
            <x15:cachedUniqueName index="3" name="[Range2].[JobSatisfaction].&amp;[3]"/>
            <x15:cachedUniqueName index="4" name="[Range2].[JobSatisfaction].&amp;[4]"/>
          </x15:cachedUniqueNames>
        </ext>
      </extLst>
    </cacheField>
    <cacheField name="[Measures].[Count of EMP ID]" caption="Count of EMP ID" numFmtId="0" hierarchy="34" level="32767"/>
  </cacheFields>
  <cacheHierarchies count="37">
    <cacheHierarchy uniqueName="[Range].[Months List]" caption="Months List" attribute="1" defaultMemberUniqueName="[Range].[Months List].[All]" allUniqueName="[Range].[Months List].[All]" dimensionUniqueName="[Range]" displayFolder="" count="0" memberValueDatatype="130" unbalanced="0"/>
    <cacheHierarchy uniqueName="[Range1].[Month]" caption="Month" attribute="1" defaultMemberUniqueName="[Range1].[Month].[All]" allUniqueName="[Range1].[Month].[All]" dimensionUniqueName="[Range1]" displayFolder="" count="0" memberValueDatatype="130" unbalanced="0"/>
    <cacheHierarchy uniqueName="[Range2].[JobSatisfaction]" caption="JobSatisfaction" attribute="1" defaultMemberUniqueName="[Range2].[JobSatisfaction].[All]" allUniqueName="[Range2].[JobSatisfaction].[All]" dimensionUniqueName="[Range2]" displayFolder="" count="2" memberValueDatatype="20" unbalanced="0">
      <fieldsUsage count="2">
        <fieldUsage x="-1"/>
        <fieldUsage x="0"/>
      </fieldsUsage>
    </cacheHierarchy>
    <cacheHierarchy uniqueName="[Table1].[EMP ID]" caption="EMP ID" attribute="1" defaultMemberUniqueName="[Table1].[EMP ID].[All]" allUniqueName="[Table1].[EMP ID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DailyRate ($)]" caption="DailyRate ($)" attribute="1" defaultMemberUniqueName="[Table1].[DailyRate ($)].[All]" allUniqueName="[Table1].[DailyRate ($)].[All]" dimensionUniqueName="[Table1]" displayFolder="" count="0" memberValueDatatype="2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Education]" caption="Education" attribute="1" defaultMemberUniqueName="[Table1].[Education].[All]" allUniqueName="[Table1].[Education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HourlyRate]" caption="HourlyRate" attribute="1" defaultMemberUniqueName="[Table1].[HourlyRate].[All]" allUniqueName="[Table1].[HourlyRate].[All]" dimensionUniqueName="[Table1]" displayFolder="" count="0" memberValueDatatype="20" unbalanced="0"/>
    <cacheHierarchy uniqueName="[Table1].[JobInvolvement]" caption="JobInvolvement" attribute="1" defaultMemberUniqueName="[Table1].[JobInvolvement].[All]" allUniqueName="[Table1].[JobInvolvement].[All]" dimensionUniqueName="[Table1]" displayFolder="" count="0" memberValueDatatype="20" unbalanced="0"/>
    <cacheHierarchy uniqueName="[Table1].[JobLevel]" caption="JobLevel" attribute="1" defaultMemberUniqueName="[Table1].[JobLevel].[All]" allUniqueName="[Table1].[JobLevel].[All]" dimensionUniqueName="[Table1]" displayFolder="" count="0" memberValueDatatype="20" unbalanced="0"/>
    <cacheHierarchy uniqueName="[Table1].[Prefix]" caption="Prefix" attribute="1" defaultMemberUniqueName="[Table1].[Prefix].[All]" allUniqueName="[Table1].[Prefix].[All]" dimensionUniqueName="[Table1]" displayFolder="" count="0" memberValueDatatype="130" unbalanced="0"/>
    <cacheHierarchy uniqueName="[Table1].[Job Role]" caption="Job Role" attribute="1" defaultMemberUniqueName="[Table1].[Job Role].[All]" allUniqueName="[Table1].[Job Role].[All]" dimensionUniqueName="[Table1]" displayFolder="" count="0" memberValueDatatype="130" unbalanced="0"/>
    <cacheHierarchy uniqueName="[Table1].[JobSatisfaction]" caption="JobSatisfaction" attribute="1" defaultMemberUniqueName="[Table1].[JobSatisfaction].[All]" allUniqueName="[Table1].[JobSatisfaction].[All]" dimensionUniqueName="[Table1]" displayFolder="" count="0" memberValueDatatype="20" unbalanced="0"/>
    <cacheHierarchy uniqueName="[Table1].[MaritalStatus]" caption="MaritalStatus" attribute="1" defaultMemberUniqueName="[Table1].[MaritalStatus].[All]" allUniqueName="[Table1].[MaritalStatus].[All]" dimensionUniqueName="[Table1]" displayFolder="" count="0" memberValueDatatype="130" unbalanced="0"/>
    <cacheHierarchy uniqueName="[Table1].[NumCompaniesWorked]" caption="NumCompaniesWorked" attribute="1" defaultMemberUniqueName="[Table1].[NumCompaniesWorked].[All]" allUniqueName="[Table1].[NumCompaniesWorked].[All]" dimensionUniqueName="[Table1]" displayFolder="" count="0" memberValueDatatype="20" unbalanced="0"/>
    <cacheHierarchy uniqueName="[Table1].[OverTime]" caption="OverTime" attribute="1" defaultMemberUniqueName="[Table1].[OverTime].[All]" allUniqueName="[Table1].[OverTime].[All]" dimensionUniqueName="[Table1]" displayFolder="" count="0" memberValueDatatype="130" unbalanced="0"/>
    <cacheHierarchy uniqueName="[Table1].[TotalWorkingYears]" caption="TotalWorkingYears" attribute="1" defaultMemberUniqueName="[Table1].[TotalWorkingYears].[All]" allUniqueName="[Table1].[TotalWorkingYears].[All]" dimensionUniqueName="[Table1]" displayFolder="" count="0" memberValueDatatype="20" unbalanced="0"/>
    <cacheHierarchy uniqueName="[Table1].[Hiring Date]" caption="Hiring Date" attribute="1" defaultMemberUniqueName="[Table1].[Hiring Date].[All]" allUniqueName="[Table1].[Hiring Date].[All]" dimensionUniqueName="[Table1]" displayFolder="" count="0" memberValueDatatype="20" unbalanced="0"/>
    <cacheHierarchy uniqueName="[Table1].[Months List]" caption="Months List" attribute="1" defaultMemberUniqueName="[Table1].[Months List].[All]" allUniqueName="[Table1].[Months List].[All]" dimensionUniqueName="[Table1]" displayFolder="" count="0" memberValueDatatype="130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Hiring Count of Months]" caption="Hiring Count of Months" attribute="1" defaultMemberUniqueName="[Table1].[Hiring Count of Months].[All]" allUniqueName="[Table1].[Hiring Count of Months].[All]" dimensionUniqueName="[Table1]" displayFolder="" count="0" memberValueDatatype="2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XL_Count Range1]" caption="__XL_Count Range1" measure="1" displayFolder="" measureGroup="Range1" count="0" hidden="1"/>
    <cacheHierarchy uniqueName="[Measures].[__XL_Count Range2]" caption="__XL_Count Range2" measure="1" displayFolder="" measureGroup="Range2" count="0" hidden="1"/>
    <cacheHierarchy uniqueName="[Measures].[__No measures defined]" caption="__No measures defined" measure="1" displayFolder="" count="0" hidden="1"/>
    <cacheHierarchy uniqueName="[Measures].[Sum of Hiring Count of Months]" caption="Sum of Hiring Count of Months" measure="1" displayFolder="" measureGroup="Table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Month]" caption="Count of Month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Hiring Date]" caption="Sum of Hiring Date" measure="1" displayFolder="" measureGroup="Table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EMP ID]" caption="Count of EMP 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JobSatisfaction]" caption="Sum of JobSatisfaction" measure="1" displayFolder="" measureGroup="Range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JobLevel]" caption="Sum of JobLevel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1" uniqueName="[Range1]" caption="Range1"/>
    <dimension name="Range2" uniqueName="[Range2]" caption="Range2"/>
    <dimension name="Table1" uniqueName="[Table1]" caption="Table1"/>
  </dimensions>
  <measureGroups count="4">
    <measureGroup name="Range" caption="Range"/>
    <measureGroup name="Range1" caption="Range1"/>
    <measureGroup name="Range2" caption="Range2"/>
    <measureGroup name="Table1" caption="Table1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Windows User" refreshedDate="46132.093454282411" backgroundQuery="1" createdVersion="6" refreshedVersion="6" minRefreshableVersion="3" recordCount="0" supportSubquery="1" supportAdvancedDrill="1">
  <cacheSource type="external" connectionId="1"/>
  <cacheFields count="2">
    <cacheField name="[Table1].[JobLevel].[JobLevel]" caption="JobLevel" numFmtId="0" hierarchy="11" level="1">
      <sharedItems containsSemiMixedTypes="0" containsString="0" containsNumber="1" containsInteger="1" minValue="1" maxValue="5" count="5"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Table1].[JobLevel].&amp;[1]"/>
            <x15:cachedUniqueName index="1" name="[Table1].[JobLevel].&amp;[2]"/>
            <x15:cachedUniqueName index="2" name="[Table1].[JobLevel].&amp;[3]"/>
            <x15:cachedUniqueName index="3" name="[Table1].[JobLevel].&amp;[4]"/>
            <x15:cachedUniqueName index="4" name="[Table1].[JobLevel].&amp;[5]"/>
          </x15:cachedUniqueNames>
        </ext>
      </extLst>
    </cacheField>
    <cacheField name="[Measures].[Count of EMP ID]" caption="Count of EMP ID" numFmtId="0" hierarchy="34" level="32767"/>
  </cacheFields>
  <cacheHierarchies count="37">
    <cacheHierarchy uniqueName="[Range].[Months List]" caption="Months List" attribute="1" defaultMemberUniqueName="[Range].[Months List].[All]" allUniqueName="[Range].[Months List].[All]" dimensionUniqueName="[Range]" displayFolder="" count="0" memberValueDatatype="130" unbalanced="0"/>
    <cacheHierarchy uniqueName="[Range1].[Month]" caption="Month" attribute="1" defaultMemberUniqueName="[Range1].[Month].[All]" allUniqueName="[Range1].[Month].[All]" dimensionUniqueName="[Range1]" displayFolder="" count="0" memberValueDatatype="130" unbalanced="0"/>
    <cacheHierarchy uniqueName="[Range2].[JobSatisfaction]" caption="JobSatisfaction" attribute="1" defaultMemberUniqueName="[Range2].[JobSatisfaction].[All]" allUniqueName="[Range2].[JobSatisfaction].[All]" dimensionUniqueName="[Range2]" displayFolder="" count="0" memberValueDatatype="20" unbalanced="0"/>
    <cacheHierarchy uniqueName="[Table1].[EMP ID]" caption="EMP ID" attribute="1" defaultMemberUniqueName="[Table1].[EMP ID].[All]" allUniqueName="[Table1].[EMP ID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DailyRate ($)]" caption="DailyRate ($)" attribute="1" defaultMemberUniqueName="[Table1].[DailyRate ($)].[All]" allUniqueName="[Table1].[DailyRate ($)].[All]" dimensionUniqueName="[Table1]" displayFolder="" count="0" memberValueDatatype="2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Education]" caption="Education" attribute="1" defaultMemberUniqueName="[Table1].[Education].[All]" allUniqueName="[Table1].[Education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HourlyRate]" caption="HourlyRate" attribute="1" defaultMemberUniqueName="[Table1].[HourlyRate].[All]" allUniqueName="[Table1].[HourlyRate].[All]" dimensionUniqueName="[Table1]" displayFolder="" count="0" memberValueDatatype="20" unbalanced="0"/>
    <cacheHierarchy uniqueName="[Table1].[JobInvolvement]" caption="JobInvolvement" attribute="1" defaultMemberUniqueName="[Table1].[JobInvolvement].[All]" allUniqueName="[Table1].[JobInvolvement].[All]" dimensionUniqueName="[Table1]" displayFolder="" count="0" memberValueDatatype="20" unbalanced="0"/>
    <cacheHierarchy uniqueName="[Table1].[JobLevel]" caption="JobLevel" attribute="1" defaultMemberUniqueName="[Table1].[JobLevel].[All]" allUniqueName="[Table1].[JobLevel].[All]" dimensionUniqueName="[Table1]" displayFolder="" count="2" memberValueDatatype="20" unbalanced="0">
      <fieldsUsage count="2">
        <fieldUsage x="-1"/>
        <fieldUsage x="0"/>
      </fieldsUsage>
    </cacheHierarchy>
    <cacheHierarchy uniqueName="[Table1].[Prefix]" caption="Prefix" attribute="1" defaultMemberUniqueName="[Table1].[Prefix].[All]" allUniqueName="[Table1].[Prefix].[All]" dimensionUniqueName="[Table1]" displayFolder="" count="0" memberValueDatatype="130" unbalanced="0"/>
    <cacheHierarchy uniqueName="[Table1].[Job Role]" caption="Job Role" attribute="1" defaultMemberUniqueName="[Table1].[Job Role].[All]" allUniqueName="[Table1].[Job Role].[All]" dimensionUniqueName="[Table1]" displayFolder="" count="0" memberValueDatatype="130" unbalanced="0"/>
    <cacheHierarchy uniqueName="[Table1].[JobSatisfaction]" caption="JobSatisfaction" attribute="1" defaultMemberUniqueName="[Table1].[JobSatisfaction].[All]" allUniqueName="[Table1].[JobSatisfaction].[All]" dimensionUniqueName="[Table1]" displayFolder="" count="0" memberValueDatatype="20" unbalanced="0"/>
    <cacheHierarchy uniqueName="[Table1].[MaritalStatus]" caption="MaritalStatus" attribute="1" defaultMemberUniqueName="[Table1].[MaritalStatus].[All]" allUniqueName="[Table1].[MaritalStatus].[All]" dimensionUniqueName="[Table1]" displayFolder="" count="0" memberValueDatatype="130" unbalanced="0"/>
    <cacheHierarchy uniqueName="[Table1].[NumCompaniesWorked]" caption="NumCompaniesWorked" attribute="1" defaultMemberUniqueName="[Table1].[NumCompaniesWorked].[All]" allUniqueName="[Table1].[NumCompaniesWorked].[All]" dimensionUniqueName="[Table1]" displayFolder="" count="0" memberValueDatatype="20" unbalanced="0"/>
    <cacheHierarchy uniqueName="[Table1].[OverTime]" caption="OverTime" attribute="1" defaultMemberUniqueName="[Table1].[OverTime].[All]" allUniqueName="[Table1].[OverTime].[All]" dimensionUniqueName="[Table1]" displayFolder="" count="0" memberValueDatatype="130" unbalanced="0"/>
    <cacheHierarchy uniqueName="[Table1].[TotalWorkingYears]" caption="TotalWorkingYears" attribute="1" defaultMemberUniqueName="[Table1].[TotalWorkingYears].[All]" allUniqueName="[Table1].[TotalWorkingYears].[All]" dimensionUniqueName="[Table1]" displayFolder="" count="0" memberValueDatatype="20" unbalanced="0"/>
    <cacheHierarchy uniqueName="[Table1].[Hiring Date]" caption="Hiring Date" attribute="1" defaultMemberUniqueName="[Table1].[Hiring Date].[All]" allUniqueName="[Table1].[Hiring Date].[All]" dimensionUniqueName="[Table1]" displayFolder="" count="0" memberValueDatatype="20" unbalanced="0"/>
    <cacheHierarchy uniqueName="[Table1].[Months List]" caption="Months List" attribute="1" defaultMemberUniqueName="[Table1].[Months List].[All]" allUniqueName="[Table1].[Months List].[All]" dimensionUniqueName="[Table1]" displayFolder="" count="0" memberValueDatatype="130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Hiring Count of Months]" caption="Hiring Count of Months" attribute="1" defaultMemberUniqueName="[Table1].[Hiring Count of Months].[All]" allUniqueName="[Table1].[Hiring Count of Months].[All]" dimensionUniqueName="[Table1]" displayFolder="" count="0" memberValueDatatype="2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XL_Count Range1]" caption="__XL_Count Range1" measure="1" displayFolder="" measureGroup="Range1" count="0" hidden="1"/>
    <cacheHierarchy uniqueName="[Measures].[__XL_Count Range2]" caption="__XL_Count Range2" measure="1" displayFolder="" measureGroup="Range2" count="0" hidden="1"/>
    <cacheHierarchy uniqueName="[Measures].[__No measures defined]" caption="__No measures defined" measure="1" displayFolder="" count="0" hidden="1"/>
    <cacheHierarchy uniqueName="[Measures].[Sum of Hiring Count of Months]" caption="Sum of Hiring Count of Months" measure="1" displayFolder="" measureGroup="Table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Month]" caption="Count of Month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Hiring Date]" caption="Sum of Hiring Date" measure="1" displayFolder="" measureGroup="Table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EMP ID]" caption="Count of EMP 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JobSatisfaction]" caption="Sum of JobSatisfaction" measure="1" displayFolder="" measureGroup="Range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JobLevel]" caption="Sum of JobLevel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1" uniqueName="[Range1]" caption="Range1"/>
    <dimension name="Range2" uniqueName="[Range2]" caption="Range2"/>
    <dimension name="Table1" uniqueName="[Table1]" caption="Table1"/>
  </dimensions>
  <measureGroups count="4">
    <measureGroup name="Range" caption="Range"/>
    <measureGroup name="Range1" caption="Range1"/>
    <measureGroup name="Range2" caption="Range2"/>
    <measureGroup name="Table1" caption="Table1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Windows User" refreshedDate="46132.094890856482" backgroundQuery="1" createdVersion="6" refreshedVersion="6" minRefreshableVersion="3" recordCount="0" supportSubquery="1" supportAdvancedDrill="1">
  <cacheSource type="external" connectionId="1"/>
  <cacheFields count="2">
    <cacheField name="[Table1].[MaritalStatus].[MaritalStatus]" caption="MaritalStatus" numFmtId="0" hierarchy="15" level="1">
      <sharedItems count="3">
        <s v="Divorced"/>
        <s v="Married"/>
        <s v="Single"/>
      </sharedItems>
    </cacheField>
    <cacheField name="[Measures].[Count of EMP ID]" caption="Count of EMP ID" numFmtId="0" hierarchy="34" level="32767"/>
  </cacheFields>
  <cacheHierarchies count="37">
    <cacheHierarchy uniqueName="[Range].[Months List]" caption="Months List" attribute="1" defaultMemberUniqueName="[Range].[Months List].[All]" allUniqueName="[Range].[Months List].[All]" dimensionUniqueName="[Range]" displayFolder="" count="0" memberValueDatatype="130" unbalanced="0"/>
    <cacheHierarchy uniqueName="[Range1].[Month]" caption="Month" attribute="1" defaultMemberUniqueName="[Range1].[Month].[All]" allUniqueName="[Range1].[Month].[All]" dimensionUniqueName="[Range1]" displayFolder="" count="0" memberValueDatatype="130" unbalanced="0"/>
    <cacheHierarchy uniqueName="[Range2].[JobSatisfaction]" caption="JobSatisfaction" attribute="1" defaultMemberUniqueName="[Range2].[JobSatisfaction].[All]" allUniqueName="[Range2].[JobSatisfaction].[All]" dimensionUniqueName="[Range2]" displayFolder="" count="0" memberValueDatatype="20" unbalanced="0"/>
    <cacheHierarchy uniqueName="[Table1].[EMP ID]" caption="EMP ID" attribute="1" defaultMemberUniqueName="[Table1].[EMP ID].[All]" allUniqueName="[Table1].[EMP ID].[All]" dimensionUniqueName="[Table1]" displayFolder="" count="0" memberValueDatatype="130" unbalanced="0"/>
    <cacheHierarchy uniqueName="[Table1].[Age]" caption="Age" attribute="1" defaultMemberUniqueName="[Table1].[Age].[All]" allUniqueName="[Table1].[Age].[All]" dimensionUniqueName="[Table1]" displayFolder="" count="0" memberValueDatatype="20" unbalanced="0"/>
    <cacheHierarchy uniqueName="[Table1].[DailyRate ($)]" caption="DailyRate ($)" attribute="1" defaultMemberUniqueName="[Table1].[DailyRate ($)].[All]" allUniqueName="[Table1].[DailyRate ($)].[All]" dimensionUniqueName="[Table1]" displayFolder="" count="0" memberValueDatatype="20" unbalanced="0"/>
    <cacheHierarchy uniqueName="[Table1].[Department]" caption="Department" attribute="1" defaultMemberUniqueName="[Table1].[Department].[All]" allUniqueName="[Table1].[Department].[All]" dimensionUniqueName="[Table1]" displayFolder="" count="0" memberValueDatatype="130" unbalanced="0"/>
    <cacheHierarchy uniqueName="[Table1].[Education]" caption="Education" attribute="1" defaultMemberUniqueName="[Table1].[Education].[All]" allUniqueName="[Table1].[Education].[All]" dimensionUniqueName="[Table1]" displayFolder="" count="0" memberValueDatatype="130" unbalanced="0"/>
    <cacheHierarchy uniqueName="[Table1].[Gender]" caption="Gender" attribute="1" defaultMemberUniqueName="[Table1].[Gender].[All]" allUniqueName="[Table1].[Gender].[All]" dimensionUniqueName="[Table1]" displayFolder="" count="0" memberValueDatatype="130" unbalanced="0"/>
    <cacheHierarchy uniqueName="[Table1].[HourlyRate]" caption="HourlyRate" attribute="1" defaultMemberUniqueName="[Table1].[HourlyRate].[All]" allUniqueName="[Table1].[HourlyRate].[All]" dimensionUniqueName="[Table1]" displayFolder="" count="0" memberValueDatatype="20" unbalanced="0"/>
    <cacheHierarchy uniqueName="[Table1].[JobInvolvement]" caption="JobInvolvement" attribute="1" defaultMemberUniqueName="[Table1].[JobInvolvement].[All]" allUniqueName="[Table1].[JobInvolvement].[All]" dimensionUniqueName="[Table1]" displayFolder="" count="0" memberValueDatatype="20" unbalanced="0"/>
    <cacheHierarchy uniqueName="[Table1].[JobLevel]" caption="JobLevel" attribute="1" defaultMemberUniqueName="[Table1].[JobLevel].[All]" allUniqueName="[Table1].[JobLevel].[All]" dimensionUniqueName="[Table1]" displayFolder="" count="0" memberValueDatatype="20" unbalanced="0"/>
    <cacheHierarchy uniqueName="[Table1].[Prefix]" caption="Prefix" attribute="1" defaultMemberUniqueName="[Table1].[Prefix].[All]" allUniqueName="[Table1].[Prefix].[All]" dimensionUniqueName="[Table1]" displayFolder="" count="0" memberValueDatatype="130" unbalanced="0"/>
    <cacheHierarchy uniqueName="[Table1].[Job Role]" caption="Job Role" attribute="1" defaultMemberUniqueName="[Table1].[Job Role].[All]" allUniqueName="[Table1].[Job Role].[All]" dimensionUniqueName="[Table1]" displayFolder="" count="0" memberValueDatatype="130" unbalanced="0"/>
    <cacheHierarchy uniqueName="[Table1].[JobSatisfaction]" caption="JobSatisfaction" attribute="1" defaultMemberUniqueName="[Table1].[JobSatisfaction].[All]" allUniqueName="[Table1].[JobSatisfaction].[All]" dimensionUniqueName="[Table1]" displayFolder="" count="0" memberValueDatatype="20" unbalanced="0"/>
    <cacheHierarchy uniqueName="[Table1].[MaritalStatus]" caption="MaritalStatus" attribute="1" defaultMemberUniqueName="[Table1].[MaritalStatus].[All]" allUniqueName="[Table1].[MaritalStatus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NumCompaniesWorked]" caption="NumCompaniesWorked" attribute="1" defaultMemberUniqueName="[Table1].[NumCompaniesWorked].[All]" allUniqueName="[Table1].[NumCompaniesWorked].[All]" dimensionUniqueName="[Table1]" displayFolder="" count="0" memberValueDatatype="20" unbalanced="0"/>
    <cacheHierarchy uniqueName="[Table1].[OverTime]" caption="OverTime" attribute="1" defaultMemberUniqueName="[Table1].[OverTime].[All]" allUniqueName="[Table1].[OverTime].[All]" dimensionUniqueName="[Table1]" displayFolder="" count="0" memberValueDatatype="130" unbalanced="0"/>
    <cacheHierarchy uniqueName="[Table1].[TotalWorkingYears]" caption="TotalWorkingYears" attribute="1" defaultMemberUniqueName="[Table1].[TotalWorkingYears].[All]" allUniqueName="[Table1].[TotalWorkingYears].[All]" dimensionUniqueName="[Table1]" displayFolder="" count="0" memberValueDatatype="20" unbalanced="0"/>
    <cacheHierarchy uniqueName="[Table1].[Hiring Date]" caption="Hiring Date" attribute="1" defaultMemberUniqueName="[Table1].[Hiring Date].[All]" allUniqueName="[Table1].[Hiring Date].[All]" dimensionUniqueName="[Table1]" displayFolder="" count="0" memberValueDatatype="20" unbalanced="0"/>
    <cacheHierarchy uniqueName="[Table1].[Months List]" caption="Months List" attribute="1" defaultMemberUniqueName="[Table1].[Months List].[All]" allUniqueName="[Table1].[Months List].[All]" dimensionUniqueName="[Table1]" displayFolder="" count="0" memberValueDatatype="130" unbalanced="0"/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Hiring Count of Months]" caption="Hiring Count of Months" attribute="1" defaultMemberUniqueName="[Table1].[Hiring Count of Months].[All]" allUniqueName="[Table1].[Hiring Count of Months].[All]" dimensionUniqueName="[Table1]" displayFolder="" count="0" memberValueDatatype="20" unbalanced="0"/>
    <cacheHierarchy uniqueName="[Table1].[Day]" caption="Day" attribute="1" defaultMemberUniqueName="[Table1].[Day].[All]" allUniqueName="[Table1].[Da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Table1]" caption="__XL_Count Table1" measure="1" displayFolder="" measureGroup="Table1" count="0" hidden="1"/>
    <cacheHierarchy uniqueName="[Measures].[__XL_Count Range1]" caption="__XL_Count Range1" measure="1" displayFolder="" measureGroup="Range1" count="0" hidden="1"/>
    <cacheHierarchy uniqueName="[Measures].[__XL_Count Range2]" caption="__XL_Count Range2" measure="1" displayFolder="" measureGroup="Range2" count="0" hidden="1"/>
    <cacheHierarchy uniqueName="[Measures].[__No measures defined]" caption="__No measures defined" measure="1" displayFolder="" count="0" hidden="1"/>
    <cacheHierarchy uniqueName="[Measures].[Sum of Hiring Count of Months]" caption="Sum of Hiring Count of Months" measure="1" displayFolder="" measureGroup="Table1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Month]" caption="Count of Month" measure="1" displayFolder="" measureGroup="Table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Count of Year]" caption="Count of Year" measure="1" displayFolder="" measureGroup="Table1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Hiring Date]" caption="Sum of Hiring Date" measure="1" displayFolder="" measureGroup="Table1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EMP ID]" caption="Count of EMP I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JobSatisfaction]" caption="Sum of JobSatisfaction" measure="1" displayFolder="" measureGroup="Range2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JobLevel]" caption="Sum of JobLevel" measure="1" displayFolder="" measureGroup="Table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5">
    <dimension measure="1" name="Measures" uniqueName="[Measures]" caption="Measures"/>
    <dimension name="Range" uniqueName="[Range]" caption="Range"/>
    <dimension name="Range1" uniqueName="[Range1]" caption="Range1"/>
    <dimension name="Range2" uniqueName="[Range2]" caption="Range2"/>
    <dimension name="Table1" uniqueName="[Table1]" caption="Table1"/>
  </dimensions>
  <measureGroups count="4">
    <measureGroup name="Range" caption="Range"/>
    <measureGroup name="Range1" caption="Range1"/>
    <measureGroup name="Range2" caption="Range2"/>
    <measureGroup name="Table1" caption="Table1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66">
  <r>
    <n v="4"/>
  </r>
  <r>
    <n v="3"/>
  </r>
  <r>
    <n v="4"/>
  </r>
  <r>
    <n v="2"/>
  </r>
  <r>
    <n v="3"/>
  </r>
  <r>
    <n v="3"/>
  </r>
  <r>
    <n v="3"/>
  </r>
  <r>
    <n v="3"/>
  </r>
  <r>
    <n v="4"/>
  </r>
  <r>
    <n v="3"/>
  </r>
  <r>
    <n v="4"/>
  </r>
  <r>
    <n v="2"/>
  </r>
  <r>
    <n v="1"/>
  </r>
  <r>
    <n v="1"/>
  </r>
  <r>
    <n v="3"/>
  </r>
  <r>
    <n v="4"/>
  </r>
  <r>
    <n v="4"/>
  </r>
  <r>
    <n v="1"/>
  </r>
  <r>
    <n v="1"/>
  </r>
  <r>
    <n v="1"/>
  </r>
  <r>
    <n v="4"/>
  </r>
  <r>
    <n v="4"/>
  </r>
  <r>
    <n v="4"/>
  </r>
  <r>
    <n v="1"/>
  </r>
  <r>
    <n v="4"/>
  </r>
  <r>
    <n v="2"/>
  </r>
  <r>
    <n v="3"/>
  </r>
  <r>
    <n v="1"/>
  </r>
  <r>
    <n v="2"/>
  </r>
  <r>
    <n v="1"/>
  </r>
  <r>
    <n v="2"/>
  </r>
  <r>
    <n v="1"/>
  </r>
  <r>
    <n v="4"/>
  </r>
  <r>
    <n v="2"/>
  </r>
  <r>
    <n v="1"/>
  </r>
  <r>
    <n v="4"/>
  </r>
  <r>
    <n v="1"/>
  </r>
  <r>
    <n v="3"/>
  </r>
  <r>
    <n v="1"/>
  </r>
  <r>
    <n v="3"/>
  </r>
  <r>
    <n v="3"/>
  </r>
  <r>
    <n v="4"/>
  </r>
  <r>
    <n v="2"/>
  </r>
  <r>
    <n v="3"/>
  </r>
  <r>
    <n v="1"/>
  </r>
  <r>
    <n v="3"/>
  </r>
  <r>
    <n v="4"/>
  </r>
  <r>
    <n v="4"/>
  </r>
  <r>
    <n v="1"/>
  </r>
  <r>
    <n v="2"/>
  </r>
  <r>
    <n v="1"/>
  </r>
  <r>
    <n v="2"/>
  </r>
  <r>
    <n v="4"/>
  </r>
  <r>
    <n v="4"/>
  </r>
  <r>
    <n v="1"/>
  </r>
  <r>
    <n v="3"/>
  </r>
  <r>
    <n v="3"/>
  </r>
  <r>
    <n v="2"/>
  </r>
  <r>
    <n v="1"/>
  </r>
  <r>
    <n v="3"/>
  </r>
  <r>
    <n v="2"/>
  </r>
  <r>
    <n v="3"/>
  </r>
  <r>
    <n v="3"/>
  </r>
  <r>
    <n v="2"/>
  </r>
  <r>
    <n v="1"/>
  </r>
  <r>
    <n v="1"/>
  </r>
  <r>
    <n v="3"/>
  </r>
  <r>
    <n v="3"/>
  </r>
  <r>
    <n v="4"/>
  </r>
  <r>
    <n v="3"/>
  </r>
  <r>
    <n v="3"/>
  </r>
  <r>
    <n v="3"/>
  </r>
  <r>
    <n v="2"/>
  </r>
  <r>
    <n v="1"/>
  </r>
  <r>
    <n v="3"/>
  </r>
  <r>
    <n v="2"/>
  </r>
  <r>
    <n v="2"/>
  </r>
  <r>
    <n v="3"/>
  </r>
  <r>
    <n v="3"/>
  </r>
  <r>
    <n v="1"/>
  </r>
  <r>
    <n v="2"/>
  </r>
  <r>
    <n v="3"/>
  </r>
  <r>
    <n v="3"/>
  </r>
  <r>
    <n v="3"/>
  </r>
  <r>
    <n v="3"/>
  </r>
  <r>
    <n v="2"/>
  </r>
  <r>
    <n v="3"/>
  </r>
  <r>
    <n v="1"/>
  </r>
  <r>
    <n v="3"/>
  </r>
  <r>
    <n v="3"/>
  </r>
  <r>
    <n v="1"/>
  </r>
  <r>
    <n v="1"/>
  </r>
  <r>
    <n v="2"/>
  </r>
  <r>
    <n v="2"/>
  </r>
  <r>
    <n v="3"/>
  </r>
  <r>
    <n v="4"/>
  </r>
  <r>
    <n v="4"/>
  </r>
  <r>
    <n v="1"/>
  </r>
  <r>
    <n v="1"/>
  </r>
  <r>
    <n v="3"/>
  </r>
  <r>
    <n v="2"/>
  </r>
  <r>
    <n v="2"/>
  </r>
  <r>
    <n v="2"/>
  </r>
  <r>
    <n v="3"/>
  </r>
  <r>
    <n v="1"/>
  </r>
  <r>
    <n v="3"/>
  </r>
  <r>
    <n v="3"/>
  </r>
  <r>
    <n v="4"/>
  </r>
  <r>
    <n v="3"/>
  </r>
  <r>
    <n v="2"/>
  </r>
  <r>
    <n v="4"/>
  </r>
  <r>
    <n v="2"/>
  </r>
  <r>
    <n v="4"/>
  </r>
  <r>
    <n v="1"/>
  </r>
  <r>
    <n v="2"/>
  </r>
  <r>
    <n v="4"/>
  </r>
  <r>
    <n v="4"/>
  </r>
  <r>
    <n v="1"/>
  </r>
  <r>
    <n v="3"/>
  </r>
  <r>
    <n v="4"/>
  </r>
  <r>
    <n v="1"/>
  </r>
  <r>
    <n v="4"/>
  </r>
  <r>
    <n v="1"/>
  </r>
  <r>
    <n v="2"/>
  </r>
  <r>
    <n v="3"/>
  </r>
  <r>
    <n v="2"/>
  </r>
  <r>
    <n v="4"/>
  </r>
  <r>
    <n v="3"/>
  </r>
  <r>
    <n v="3"/>
  </r>
  <r>
    <n v="1"/>
  </r>
  <r>
    <n v="1"/>
  </r>
  <r>
    <n v="3"/>
  </r>
  <r>
    <n v="1"/>
  </r>
  <r>
    <n v="1"/>
  </r>
  <r>
    <n v="2"/>
  </r>
  <r>
    <n v="1"/>
  </r>
  <r>
    <n v="4"/>
  </r>
  <r>
    <n v="2"/>
  </r>
  <r>
    <n v="1"/>
  </r>
  <r>
    <n v="1"/>
  </r>
  <r>
    <n v="4"/>
  </r>
  <r>
    <n v="4"/>
  </r>
  <r>
    <n v="4"/>
  </r>
  <r>
    <n v="4"/>
  </r>
  <r>
    <n v="4"/>
  </r>
  <r>
    <n v="2"/>
  </r>
  <r>
    <n v="2"/>
  </r>
  <r>
    <n v="3"/>
  </r>
  <r>
    <n v="1"/>
  </r>
  <r>
    <n v="3"/>
  </r>
  <r>
    <n v="3"/>
  </r>
  <r>
    <n v="4"/>
  </r>
  <r>
    <n v="3"/>
  </r>
  <r>
    <n v="3"/>
  </r>
  <r>
    <n v="1"/>
  </r>
  <r>
    <n v="3"/>
  </r>
  <r>
    <n v="4"/>
  </r>
  <r>
    <n v="3"/>
  </r>
  <r>
    <n v="3"/>
  </r>
  <r>
    <n v="1"/>
  </r>
  <r>
    <n v="2"/>
  </r>
  <r>
    <n v="4"/>
  </r>
  <r>
    <n v="1"/>
  </r>
  <r>
    <n v="2"/>
  </r>
  <r>
    <n v="3"/>
  </r>
  <r>
    <n v="3"/>
  </r>
  <r>
    <n v="4"/>
  </r>
  <r>
    <n v="4"/>
  </r>
  <r>
    <n v="4"/>
  </r>
  <r>
    <n v="2"/>
  </r>
  <r>
    <n v="1"/>
  </r>
  <r>
    <n v="1"/>
  </r>
  <r>
    <n v="1"/>
  </r>
  <r>
    <n v="3"/>
  </r>
  <r>
    <n v="4"/>
  </r>
  <r>
    <n v="1"/>
  </r>
  <r>
    <n v="1"/>
  </r>
  <r>
    <n v="4"/>
  </r>
  <r>
    <n v="1"/>
  </r>
  <r>
    <n v="1"/>
  </r>
  <r>
    <n v="1"/>
  </r>
  <r>
    <n v="4"/>
  </r>
  <r>
    <n v="4"/>
  </r>
  <r>
    <n v="3"/>
  </r>
  <r>
    <n v="3"/>
  </r>
  <r>
    <n v="3"/>
  </r>
  <r>
    <n v="3"/>
  </r>
  <r>
    <n v="3"/>
  </r>
  <r>
    <n v="2"/>
  </r>
  <r>
    <n v="3"/>
  </r>
  <r>
    <n v="4"/>
  </r>
  <r>
    <n v="3"/>
  </r>
  <r>
    <n v="1"/>
  </r>
  <r>
    <n v="2"/>
  </r>
  <r>
    <n v="4"/>
  </r>
  <r>
    <n v="4"/>
  </r>
  <r>
    <n v="4"/>
  </r>
  <r>
    <n v="4"/>
  </r>
  <r>
    <n v="4"/>
  </r>
  <r>
    <n v="3"/>
  </r>
  <r>
    <n v="3"/>
  </r>
  <r>
    <n v="4"/>
  </r>
  <r>
    <n v="1"/>
  </r>
  <r>
    <n v="3"/>
  </r>
  <r>
    <n v="1"/>
  </r>
  <r>
    <n v="3"/>
  </r>
  <r>
    <n v="2"/>
  </r>
  <r>
    <n v="2"/>
  </r>
  <r>
    <n v="1"/>
  </r>
  <r>
    <n v="3"/>
  </r>
  <r>
    <n v="4"/>
  </r>
  <r>
    <n v="2"/>
  </r>
  <r>
    <n v="2"/>
  </r>
  <r>
    <n v="3"/>
  </r>
  <r>
    <n v="3"/>
  </r>
  <r>
    <n v="1"/>
  </r>
  <r>
    <n v="3"/>
  </r>
  <r>
    <n v="3"/>
  </r>
  <r>
    <n v="4"/>
  </r>
  <r>
    <n v="4"/>
  </r>
  <r>
    <n v="2"/>
  </r>
  <r>
    <n v="2"/>
  </r>
  <r>
    <n v="4"/>
  </r>
  <r>
    <n v="4"/>
  </r>
  <r>
    <n v="2"/>
  </r>
  <r>
    <n v="4"/>
  </r>
  <r>
    <n v="1"/>
  </r>
  <r>
    <n v="2"/>
  </r>
  <r>
    <n v="2"/>
  </r>
  <r>
    <n v="3"/>
  </r>
  <r>
    <n v="3"/>
  </r>
  <r>
    <n v="1"/>
  </r>
  <r>
    <n v="4"/>
  </r>
  <r>
    <n v="1"/>
  </r>
  <r>
    <n v="3"/>
  </r>
  <r>
    <n v="4"/>
  </r>
  <r>
    <n v="3"/>
  </r>
  <r>
    <n v="3"/>
  </r>
  <r>
    <n v="4"/>
  </r>
  <r>
    <n v="3"/>
  </r>
  <r>
    <n v="2"/>
  </r>
  <r>
    <n v="4"/>
  </r>
  <r>
    <n v="2"/>
  </r>
  <r>
    <n v="4"/>
  </r>
  <r>
    <n v="3"/>
  </r>
  <r>
    <n v="4"/>
  </r>
  <r>
    <n v="2"/>
  </r>
  <r>
    <n v="4"/>
  </r>
  <r>
    <n v="4"/>
  </r>
  <r>
    <n v="4"/>
  </r>
  <r>
    <n v="4"/>
  </r>
  <r>
    <n v="4"/>
  </r>
  <r>
    <n v="4"/>
  </r>
  <r>
    <n v="3"/>
  </r>
  <r>
    <n v="3"/>
  </r>
  <r>
    <n v="4"/>
  </r>
  <r>
    <n v="3"/>
  </r>
  <r>
    <n v="4"/>
  </r>
  <r>
    <n v="3"/>
  </r>
  <r>
    <n v="3"/>
  </r>
  <r>
    <n v="3"/>
  </r>
  <r>
    <n v="3"/>
  </r>
  <r>
    <n v="2"/>
  </r>
  <r>
    <n v="3"/>
  </r>
  <r>
    <n v="3"/>
  </r>
  <r>
    <n v="2"/>
  </r>
  <r>
    <n v="3"/>
  </r>
  <r>
    <n v="1"/>
  </r>
  <r>
    <n v="1"/>
  </r>
  <r>
    <n v="2"/>
  </r>
  <r>
    <n v="3"/>
  </r>
  <r>
    <n v="4"/>
  </r>
  <r>
    <n v="2"/>
  </r>
  <r>
    <n v="4"/>
  </r>
  <r>
    <n v="1"/>
  </r>
  <r>
    <n v="2"/>
  </r>
  <r>
    <n v="2"/>
  </r>
  <r>
    <n v="2"/>
  </r>
  <r>
    <n v="4"/>
  </r>
  <r>
    <n v="4"/>
  </r>
  <r>
    <n v="3"/>
  </r>
  <r>
    <n v="2"/>
  </r>
  <r>
    <n v="3"/>
  </r>
  <r>
    <n v="1"/>
  </r>
  <r>
    <n v="4"/>
  </r>
  <r>
    <n v="4"/>
  </r>
  <r>
    <n v="3"/>
  </r>
  <r>
    <n v="4"/>
  </r>
  <r>
    <n v="4"/>
  </r>
  <r>
    <n v="2"/>
  </r>
  <r>
    <n v="3"/>
  </r>
  <r>
    <n v="1"/>
  </r>
  <r>
    <n v="4"/>
  </r>
  <r>
    <n v="2"/>
  </r>
  <r>
    <n v="4"/>
  </r>
  <r>
    <n v="1"/>
  </r>
  <r>
    <n v="2"/>
  </r>
  <r>
    <n v="3"/>
  </r>
  <r>
    <n v="1"/>
  </r>
  <r>
    <n v="1"/>
  </r>
  <r>
    <n v="3"/>
  </r>
  <r>
    <n v="2"/>
  </r>
  <r>
    <n v="4"/>
  </r>
  <r>
    <n v="3"/>
  </r>
  <r>
    <n v="2"/>
  </r>
  <r>
    <n v="1"/>
  </r>
  <r>
    <n v="2"/>
  </r>
  <r>
    <n v="1"/>
  </r>
  <r>
    <n v="3"/>
  </r>
  <r>
    <n v="3"/>
  </r>
  <r>
    <n v="4"/>
  </r>
  <r>
    <n v="4"/>
  </r>
  <r>
    <n v="4"/>
  </r>
  <r>
    <n v="2"/>
  </r>
  <r>
    <n v="3"/>
  </r>
  <r>
    <n v="1"/>
  </r>
  <r>
    <n v="4"/>
  </r>
  <r>
    <n v="3"/>
  </r>
  <r>
    <n v="2"/>
  </r>
  <r>
    <n v="4"/>
  </r>
  <r>
    <n v="1"/>
  </r>
  <r>
    <n v="4"/>
  </r>
  <r>
    <n v="2"/>
  </r>
  <r>
    <n v="2"/>
  </r>
  <r>
    <n v="4"/>
  </r>
  <r>
    <n v="1"/>
  </r>
  <r>
    <n v="4"/>
  </r>
  <r>
    <n v="3"/>
  </r>
  <r>
    <n v="2"/>
  </r>
  <r>
    <n v="1"/>
  </r>
  <r>
    <n v="1"/>
  </r>
  <r>
    <n v="4"/>
  </r>
  <r>
    <n v="3"/>
  </r>
  <r>
    <n v="4"/>
  </r>
  <r>
    <n v="2"/>
  </r>
  <r>
    <n v="1"/>
  </r>
  <r>
    <n v="1"/>
  </r>
  <r>
    <n v="4"/>
  </r>
  <r>
    <n v="3"/>
  </r>
  <r>
    <n v="2"/>
  </r>
  <r>
    <n v="3"/>
  </r>
  <r>
    <n v="3"/>
  </r>
  <r>
    <n v="2"/>
  </r>
  <r>
    <n v="2"/>
  </r>
  <r>
    <n v="3"/>
  </r>
  <r>
    <n v="3"/>
  </r>
  <r>
    <n v="4"/>
  </r>
  <r>
    <n v="3"/>
  </r>
  <r>
    <n v="2"/>
  </r>
  <r>
    <n v="3"/>
  </r>
  <r>
    <n v="2"/>
  </r>
  <r>
    <n v="1"/>
  </r>
  <r>
    <n v="4"/>
  </r>
  <r>
    <n v="1"/>
  </r>
  <r>
    <n v="1"/>
  </r>
  <r>
    <n v="4"/>
  </r>
  <r>
    <n v="2"/>
  </r>
  <r>
    <n v="2"/>
  </r>
  <r>
    <n v="4"/>
  </r>
  <r>
    <n v="3"/>
  </r>
  <r>
    <n v="3"/>
  </r>
  <r>
    <n v="1"/>
  </r>
  <r>
    <n v="1"/>
  </r>
  <r>
    <n v="3"/>
  </r>
  <r>
    <n v="2"/>
  </r>
  <r>
    <n v="4"/>
  </r>
  <r>
    <n v="4"/>
  </r>
  <r>
    <n v="4"/>
  </r>
  <r>
    <n v="2"/>
  </r>
  <r>
    <n v="2"/>
  </r>
  <r>
    <n v="4"/>
  </r>
  <r>
    <n v="3"/>
  </r>
  <r>
    <n v="3"/>
  </r>
  <r>
    <n v="4"/>
  </r>
  <r>
    <n v="4"/>
  </r>
  <r>
    <n v="3"/>
  </r>
  <r>
    <n v="3"/>
  </r>
  <r>
    <n v="2"/>
  </r>
  <r>
    <n v="1"/>
  </r>
  <r>
    <n v="3"/>
  </r>
  <r>
    <n v="3"/>
  </r>
  <r>
    <n v="3"/>
  </r>
  <r>
    <n v="2"/>
  </r>
  <r>
    <n v="3"/>
  </r>
  <r>
    <n v="2"/>
  </r>
  <r>
    <n v="4"/>
  </r>
  <r>
    <n v="2"/>
  </r>
  <r>
    <n v="1"/>
  </r>
  <r>
    <n v="4"/>
  </r>
  <r>
    <n v="4"/>
  </r>
  <r>
    <n v="2"/>
  </r>
  <r>
    <n v="4"/>
  </r>
  <r>
    <n v="3"/>
  </r>
  <r>
    <n v="3"/>
  </r>
  <r>
    <n v="2"/>
  </r>
  <r>
    <n v="3"/>
  </r>
  <r>
    <n v="3"/>
  </r>
  <r>
    <n v="4"/>
  </r>
  <r>
    <n v="1"/>
  </r>
  <r>
    <n v="1"/>
  </r>
  <r>
    <n v="2"/>
  </r>
  <r>
    <n v="4"/>
  </r>
  <r>
    <n v="4"/>
  </r>
  <r>
    <n v="1"/>
  </r>
  <r>
    <n v="2"/>
  </r>
  <r>
    <n v="2"/>
  </r>
  <r>
    <n v="3"/>
  </r>
  <r>
    <n v="3"/>
  </r>
  <r>
    <n v="4"/>
  </r>
  <r>
    <n v="1"/>
  </r>
  <r>
    <n v="1"/>
  </r>
  <r>
    <n v="4"/>
  </r>
  <r>
    <n v="2"/>
  </r>
  <r>
    <n v="2"/>
  </r>
  <r>
    <n v="1"/>
  </r>
  <r>
    <n v="4"/>
  </r>
  <r>
    <n v="4"/>
  </r>
  <r>
    <n v="4"/>
  </r>
  <r>
    <n v="4"/>
  </r>
  <r>
    <n v="3"/>
  </r>
  <r>
    <n v="4"/>
  </r>
  <r>
    <n v="3"/>
  </r>
  <r>
    <n v="3"/>
  </r>
  <r>
    <n v="4"/>
  </r>
  <r>
    <n v="1"/>
  </r>
  <r>
    <n v="3"/>
  </r>
  <r>
    <n v="2"/>
  </r>
  <r>
    <n v="4"/>
  </r>
  <r>
    <n v="3"/>
  </r>
  <r>
    <n v="3"/>
  </r>
  <r>
    <n v="3"/>
  </r>
  <r>
    <n v="2"/>
  </r>
  <r>
    <n v="1"/>
  </r>
  <r>
    <n v="1"/>
  </r>
  <r>
    <n v="2"/>
  </r>
  <r>
    <n v="4"/>
  </r>
  <r>
    <n v="3"/>
  </r>
  <r>
    <n v="4"/>
  </r>
  <r>
    <n v="4"/>
  </r>
  <r>
    <n v="4"/>
  </r>
  <r>
    <n v="4"/>
  </r>
  <r>
    <n v="4"/>
  </r>
  <r>
    <n v="2"/>
  </r>
  <r>
    <n v="1"/>
  </r>
  <r>
    <n v="3"/>
  </r>
  <r>
    <n v="1"/>
  </r>
  <r>
    <n v="2"/>
  </r>
  <r>
    <n v="4"/>
  </r>
  <r>
    <n v="3"/>
  </r>
  <r>
    <n v="1"/>
  </r>
  <r>
    <n v="1"/>
  </r>
  <r>
    <n v="4"/>
  </r>
  <r>
    <n v="3"/>
  </r>
  <r>
    <n v="1"/>
  </r>
  <r>
    <n v="1"/>
  </r>
  <r>
    <n v="1"/>
  </r>
  <r>
    <n v="4"/>
  </r>
  <r>
    <n v="1"/>
  </r>
  <r>
    <n v="4"/>
  </r>
  <r>
    <n v="4"/>
  </r>
  <r>
    <n v="4"/>
  </r>
  <r>
    <n v="4"/>
  </r>
  <r>
    <n v="1"/>
  </r>
  <r>
    <n v="3"/>
  </r>
  <r>
    <n v="3"/>
  </r>
  <r>
    <n v="3"/>
  </r>
  <r>
    <n v="3"/>
  </r>
  <r>
    <n v="3"/>
  </r>
  <r>
    <n v="2"/>
  </r>
  <r>
    <n v="2"/>
  </r>
  <r>
    <n v="4"/>
  </r>
  <r>
    <n v="1"/>
  </r>
  <r>
    <n v="3"/>
  </r>
  <r>
    <n v="3"/>
  </r>
  <r>
    <n v="1"/>
  </r>
  <r>
    <n v="3"/>
  </r>
  <r>
    <n v="4"/>
  </r>
  <r>
    <n v="4"/>
  </r>
  <r>
    <n v="4"/>
  </r>
  <r>
    <n v="3"/>
  </r>
  <r>
    <n v="2"/>
  </r>
  <r>
    <n v="2"/>
  </r>
  <r>
    <n v="2"/>
  </r>
  <r>
    <n v="3"/>
  </r>
  <r>
    <n v="3"/>
  </r>
  <r>
    <n v="3"/>
  </r>
  <r>
    <n v="2"/>
  </r>
  <r>
    <n v="3"/>
  </r>
  <r>
    <n v="3"/>
  </r>
  <r>
    <n v="3"/>
  </r>
  <r>
    <n v="1"/>
  </r>
  <r>
    <n v="4"/>
  </r>
  <r>
    <n v="2"/>
  </r>
  <r>
    <n v="3"/>
  </r>
  <r>
    <n v="3"/>
  </r>
  <r>
    <n v="3"/>
  </r>
  <r>
    <n v="4"/>
  </r>
  <r>
    <n v="2"/>
  </r>
  <r>
    <n v="4"/>
  </r>
  <r>
    <n v="2"/>
  </r>
  <r>
    <n v="3"/>
  </r>
  <r>
    <n v="4"/>
  </r>
  <r>
    <n v="3"/>
  </r>
  <r>
    <n v="4"/>
  </r>
  <r>
    <n v="4"/>
  </r>
  <r>
    <n v="3"/>
  </r>
  <r>
    <n v="4"/>
  </r>
  <r>
    <n v="4"/>
  </r>
  <r>
    <n v="1"/>
  </r>
  <r>
    <n v="4"/>
  </r>
  <r>
    <n v="1"/>
  </r>
  <r>
    <n v="3"/>
  </r>
  <r>
    <n v="4"/>
  </r>
  <r>
    <n v="2"/>
  </r>
  <r>
    <n v="3"/>
  </r>
  <r>
    <n v="4"/>
  </r>
  <r>
    <n v="3"/>
  </r>
  <r>
    <n v="3"/>
  </r>
  <r>
    <n v="2"/>
  </r>
  <r>
    <n v="3"/>
  </r>
  <r>
    <n v="4"/>
  </r>
  <r>
    <n v="2"/>
  </r>
  <r>
    <n v="2"/>
  </r>
  <r>
    <n v="1"/>
  </r>
  <r>
    <n v="4"/>
  </r>
  <r>
    <n v="4"/>
  </r>
  <r>
    <n v="2"/>
  </r>
  <r>
    <n v="3"/>
  </r>
  <r>
    <n v="3"/>
  </r>
  <r>
    <n v="3"/>
  </r>
  <r>
    <n v="2"/>
  </r>
  <r>
    <n v="4"/>
  </r>
  <r>
    <n v="1"/>
  </r>
  <r>
    <n v="4"/>
  </r>
  <r>
    <n v="3"/>
  </r>
  <r>
    <n v="3"/>
  </r>
  <r>
    <n v="4"/>
  </r>
  <r>
    <n v="1"/>
  </r>
  <r>
    <n v="4"/>
  </r>
  <r>
    <n v="1"/>
  </r>
  <r>
    <n v="1"/>
  </r>
  <r>
    <n v="4"/>
  </r>
  <r>
    <n v="2"/>
  </r>
  <r>
    <n v="2"/>
  </r>
  <r>
    <n v="2"/>
  </r>
  <r>
    <n v="3"/>
  </r>
  <r>
    <n v="2"/>
  </r>
  <r>
    <n v="4"/>
  </r>
  <r>
    <n v="3"/>
  </r>
  <r>
    <n v="3"/>
  </r>
  <r>
    <n v="2"/>
  </r>
  <r>
    <n v="4"/>
  </r>
  <r>
    <n v="1"/>
  </r>
  <r>
    <n v="3"/>
  </r>
  <r>
    <n v="4"/>
  </r>
  <r>
    <n v="2"/>
  </r>
  <r>
    <n v="4"/>
  </r>
  <r>
    <n v="4"/>
  </r>
  <r>
    <n v="3"/>
  </r>
  <r>
    <n v="2"/>
  </r>
  <r>
    <n v="3"/>
  </r>
  <r>
    <n v="4"/>
  </r>
  <r>
    <n v="4"/>
  </r>
  <r>
    <n v="3"/>
  </r>
  <r>
    <n v="3"/>
  </r>
  <r>
    <n v="2"/>
  </r>
  <r>
    <n v="1"/>
  </r>
  <r>
    <n v="2"/>
  </r>
  <r>
    <n v="1"/>
  </r>
  <r>
    <n v="1"/>
  </r>
  <r>
    <n v="1"/>
  </r>
  <r>
    <n v="4"/>
  </r>
  <r>
    <n v="4"/>
  </r>
  <r>
    <n v="1"/>
  </r>
  <r>
    <n v="3"/>
  </r>
  <r>
    <n v="4"/>
  </r>
  <r>
    <n v="4"/>
  </r>
  <r>
    <n v="2"/>
  </r>
  <r>
    <n v="2"/>
  </r>
  <r>
    <n v="3"/>
  </r>
  <r>
    <n v="1"/>
  </r>
  <r>
    <n v="2"/>
  </r>
  <r>
    <n v="3"/>
  </r>
  <r>
    <n v="2"/>
  </r>
  <r>
    <n v="3"/>
  </r>
  <r>
    <n v="3"/>
  </r>
  <r>
    <n v="2"/>
  </r>
  <r>
    <n v="3"/>
  </r>
  <r>
    <n v="2"/>
  </r>
  <r>
    <n v="3"/>
  </r>
  <r>
    <n v="4"/>
  </r>
  <r>
    <n v="4"/>
  </r>
  <r>
    <n v="1"/>
  </r>
  <r>
    <n v="2"/>
  </r>
  <r>
    <n v="3"/>
  </r>
  <r>
    <n v="3"/>
  </r>
  <r>
    <n v="2"/>
  </r>
  <r>
    <n v="4"/>
  </r>
  <r>
    <n v="1"/>
  </r>
  <r>
    <n v="4"/>
  </r>
  <r>
    <n v="3"/>
  </r>
  <r>
    <n v="4"/>
  </r>
  <r>
    <n v="1"/>
  </r>
  <r>
    <n v="4"/>
  </r>
  <r>
    <n v="2"/>
  </r>
  <r>
    <n v="4"/>
  </r>
  <r>
    <n v="4"/>
  </r>
  <r>
    <n v="3"/>
  </r>
  <r>
    <n v="1"/>
  </r>
  <r>
    <n v="4"/>
  </r>
  <r>
    <n v="3"/>
  </r>
  <r>
    <n v="3"/>
  </r>
  <r>
    <n v="2"/>
  </r>
  <r>
    <n v="1"/>
  </r>
  <r>
    <n v="4"/>
  </r>
  <r>
    <n v="1"/>
  </r>
  <r>
    <n v="3"/>
  </r>
  <r>
    <n v="4"/>
  </r>
  <r>
    <n v="3"/>
  </r>
  <r>
    <n v="1"/>
  </r>
  <r>
    <n v="2"/>
  </r>
  <r>
    <n v="2"/>
  </r>
  <r>
    <n v="4"/>
  </r>
  <r>
    <n v="3"/>
  </r>
  <r>
    <n v="3"/>
  </r>
  <r>
    <n v="4"/>
  </r>
  <r>
    <n v="4"/>
  </r>
  <r>
    <n v="4"/>
  </r>
  <r>
    <n v="3"/>
  </r>
  <r>
    <n v="4"/>
  </r>
  <r>
    <n v="4"/>
  </r>
  <r>
    <n v="4"/>
  </r>
  <r>
    <n v="4"/>
  </r>
  <r>
    <n v="3"/>
  </r>
  <r>
    <n v="4"/>
  </r>
  <r>
    <n v="4"/>
  </r>
  <r>
    <n v="4"/>
  </r>
  <r>
    <n v="1"/>
  </r>
  <r>
    <n v="3"/>
  </r>
  <r>
    <n v="2"/>
  </r>
  <r>
    <n v="3"/>
  </r>
  <r>
    <n v="3"/>
  </r>
  <r>
    <n v="3"/>
  </r>
  <r>
    <n v="4"/>
  </r>
  <r>
    <n v="1"/>
  </r>
  <r>
    <n v="4"/>
  </r>
  <r>
    <n v="4"/>
  </r>
  <r>
    <n v="3"/>
  </r>
  <r>
    <n v="4"/>
  </r>
  <r>
    <n v="1"/>
  </r>
  <r>
    <n v="1"/>
  </r>
  <r>
    <n v="1"/>
  </r>
  <r>
    <n v="3"/>
  </r>
  <r>
    <n v="3"/>
  </r>
  <r>
    <n v="3"/>
  </r>
  <r>
    <n v="4"/>
  </r>
  <r>
    <n v="1"/>
  </r>
  <r>
    <n v="4"/>
  </r>
  <r>
    <n v="3"/>
  </r>
  <r>
    <n v="1"/>
  </r>
  <r>
    <n v="3"/>
  </r>
  <r>
    <n v="4"/>
  </r>
  <r>
    <n v="2"/>
  </r>
  <r>
    <n v="2"/>
  </r>
  <r>
    <n v="2"/>
  </r>
  <r>
    <n v="4"/>
  </r>
  <r>
    <n v="1"/>
  </r>
  <r>
    <n v="2"/>
  </r>
  <r>
    <n v="3"/>
  </r>
  <r>
    <n v="2"/>
  </r>
  <r>
    <n v="4"/>
  </r>
  <r>
    <n v="1"/>
  </r>
  <r>
    <n v="4"/>
  </r>
  <r>
    <n v="4"/>
  </r>
  <r>
    <n v="4"/>
  </r>
  <r>
    <n v="1"/>
  </r>
  <r>
    <n v="2"/>
  </r>
  <r>
    <n v="4"/>
  </r>
  <r>
    <n v="4"/>
  </r>
  <r>
    <n v="3"/>
  </r>
  <r>
    <n v="4"/>
  </r>
  <r>
    <n v="2"/>
  </r>
  <r>
    <n v="1"/>
  </r>
  <r>
    <n v="2"/>
  </r>
  <r>
    <n v="4"/>
  </r>
  <r>
    <n v="2"/>
  </r>
  <r>
    <n v="3"/>
  </r>
  <r>
    <n v="3"/>
  </r>
  <r>
    <n v="4"/>
  </r>
  <r>
    <n v="4"/>
  </r>
  <r>
    <n v="1"/>
  </r>
  <r>
    <n v="4"/>
  </r>
  <r>
    <n v="3"/>
  </r>
  <r>
    <n v="4"/>
  </r>
  <r>
    <n v="2"/>
  </r>
  <r>
    <n v="4"/>
  </r>
  <r>
    <n v="4"/>
  </r>
  <r>
    <n v="1"/>
  </r>
  <r>
    <n v="2"/>
  </r>
  <r>
    <n v="2"/>
  </r>
  <r>
    <n v="4"/>
  </r>
  <r>
    <n v="4"/>
  </r>
  <r>
    <n v="2"/>
  </r>
  <r>
    <n v="3"/>
  </r>
  <r>
    <n v="2"/>
  </r>
  <r>
    <n v="4"/>
  </r>
  <r>
    <n v="3"/>
  </r>
  <r>
    <n v="2"/>
  </r>
  <r>
    <n v="2"/>
  </r>
  <r>
    <n v="3"/>
  </r>
  <r>
    <n v="1"/>
  </r>
  <r>
    <n v="4"/>
  </r>
  <r>
    <n v="4"/>
  </r>
  <r>
    <n v="2"/>
  </r>
  <r>
    <n v="3"/>
  </r>
  <r>
    <n v="2"/>
  </r>
  <r>
    <n v="3"/>
  </r>
  <r>
    <n v="1"/>
  </r>
  <r>
    <n v="4"/>
  </r>
  <r>
    <n v="1"/>
  </r>
  <r>
    <n v="1"/>
  </r>
  <r>
    <n v="4"/>
  </r>
  <r>
    <n v="2"/>
  </r>
  <r>
    <n v="1"/>
  </r>
  <r>
    <n v="4"/>
  </r>
  <r>
    <n v="3"/>
  </r>
  <r>
    <n v="2"/>
  </r>
  <r>
    <n v="2"/>
  </r>
  <r>
    <n v="2"/>
  </r>
  <r>
    <n v="2"/>
  </r>
  <r>
    <n v="3"/>
  </r>
  <r>
    <n v="4"/>
  </r>
  <r>
    <n v="4"/>
  </r>
  <r>
    <n v="4"/>
  </r>
  <r>
    <n v="4"/>
  </r>
  <r>
    <n v="3"/>
  </r>
  <r>
    <n v="4"/>
  </r>
  <r>
    <n v="3"/>
  </r>
  <r>
    <n v="4"/>
  </r>
  <r>
    <n v="4"/>
  </r>
  <r>
    <n v="3"/>
  </r>
  <r>
    <n v="3"/>
  </r>
  <r>
    <n v="2"/>
  </r>
  <r>
    <n v="3"/>
  </r>
  <r>
    <n v="1"/>
  </r>
  <r>
    <n v="4"/>
  </r>
  <r>
    <n v="4"/>
  </r>
  <r>
    <n v="1"/>
  </r>
  <r>
    <n v="4"/>
  </r>
  <r>
    <n v="3"/>
  </r>
  <r>
    <n v="1"/>
  </r>
  <r>
    <n v="2"/>
  </r>
  <r>
    <n v="4"/>
  </r>
  <r>
    <n v="4"/>
  </r>
  <r>
    <n v="4"/>
  </r>
  <r>
    <n v="2"/>
  </r>
  <r>
    <n v="2"/>
  </r>
  <r>
    <n v="4"/>
  </r>
  <r>
    <n v="2"/>
  </r>
  <r>
    <n v="3"/>
  </r>
  <r>
    <n v="4"/>
  </r>
  <r>
    <n v="3"/>
  </r>
  <r>
    <n v="3"/>
  </r>
  <r>
    <n v="3"/>
  </r>
  <r>
    <n v="2"/>
  </r>
  <r>
    <n v="3"/>
  </r>
  <r>
    <n v="1"/>
  </r>
  <r>
    <n v="3"/>
  </r>
  <r>
    <n v="3"/>
  </r>
  <r>
    <n v="4"/>
  </r>
  <r>
    <n v="2"/>
  </r>
  <r>
    <n v="4"/>
  </r>
  <r>
    <n v="1"/>
  </r>
  <r>
    <n v="4"/>
  </r>
  <r>
    <n v="3"/>
  </r>
  <r>
    <n v="3"/>
  </r>
  <r>
    <n v="4"/>
  </r>
  <r>
    <n v="3"/>
  </r>
  <r>
    <n v="1"/>
  </r>
  <r>
    <n v="3"/>
  </r>
  <r>
    <n v="2"/>
  </r>
  <r>
    <n v="4"/>
  </r>
  <r>
    <n v="3"/>
  </r>
  <r>
    <n v="2"/>
  </r>
  <r>
    <n v="2"/>
  </r>
  <r>
    <n v="2"/>
  </r>
  <r>
    <n v="4"/>
  </r>
  <r>
    <n v="2"/>
  </r>
  <r>
    <n v="2"/>
  </r>
  <r>
    <n v="4"/>
  </r>
  <r>
    <n v="3"/>
  </r>
  <r>
    <n v="4"/>
  </r>
  <r>
    <n v="3"/>
  </r>
  <r>
    <n v="4"/>
  </r>
  <r>
    <n v="4"/>
  </r>
  <r>
    <n v="4"/>
  </r>
  <r>
    <n v="3"/>
  </r>
  <r>
    <n v="2"/>
  </r>
  <r>
    <n v="1"/>
  </r>
  <r>
    <n v="2"/>
  </r>
  <r>
    <n v="3"/>
  </r>
  <r>
    <n v="4"/>
  </r>
  <r>
    <n v="1"/>
  </r>
  <r>
    <n v="2"/>
  </r>
  <r>
    <n v="1"/>
  </r>
  <r>
    <n v="1"/>
  </r>
  <r>
    <n v="2"/>
  </r>
  <r>
    <n v="2"/>
  </r>
  <r>
    <n v="3"/>
  </r>
  <r>
    <n v="1"/>
  </r>
  <r>
    <n v="3"/>
  </r>
  <r>
    <n v="1"/>
  </r>
  <r>
    <n v="4"/>
  </r>
  <r>
    <n v="3"/>
  </r>
  <r>
    <n v="4"/>
  </r>
  <r>
    <n v="3"/>
  </r>
  <r>
    <n v="4"/>
  </r>
  <r>
    <n v="1"/>
  </r>
  <r>
    <n v="3"/>
  </r>
  <r>
    <n v="1"/>
  </r>
  <r>
    <n v="3"/>
  </r>
  <r>
    <n v="1"/>
  </r>
  <r>
    <n v="1"/>
  </r>
  <r>
    <n v="1"/>
  </r>
  <r>
    <n v="3"/>
  </r>
  <r>
    <n v="4"/>
  </r>
  <r>
    <n v="4"/>
  </r>
  <r>
    <n v="4"/>
  </r>
  <r>
    <n v="3"/>
  </r>
  <r>
    <n v="4"/>
  </r>
  <r>
    <n v="1"/>
  </r>
  <r>
    <n v="3"/>
  </r>
  <r>
    <n v="4"/>
  </r>
  <r>
    <n v="2"/>
  </r>
  <r>
    <n v="3"/>
  </r>
  <r>
    <n v="4"/>
  </r>
  <r>
    <n v="3"/>
  </r>
  <r>
    <n v="4"/>
  </r>
  <r>
    <n v="3"/>
  </r>
  <r>
    <n v="4"/>
  </r>
  <r>
    <n v="3"/>
  </r>
  <r>
    <n v="2"/>
  </r>
  <r>
    <n v="4"/>
  </r>
  <r>
    <n v="1"/>
  </r>
  <r>
    <n v="4"/>
  </r>
  <r>
    <n v="3"/>
  </r>
  <r>
    <n v="4"/>
  </r>
  <r>
    <n v="1"/>
  </r>
  <r>
    <n v="4"/>
  </r>
  <r>
    <n v="4"/>
  </r>
  <r>
    <n v="3"/>
  </r>
  <r>
    <n v="3"/>
  </r>
  <r>
    <n v="3"/>
  </r>
  <r>
    <n v="3"/>
  </r>
  <r>
    <n v="4"/>
  </r>
  <r>
    <n v="2"/>
  </r>
  <r>
    <n v="3"/>
  </r>
  <r>
    <n v="4"/>
  </r>
  <r>
    <n v="2"/>
  </r>
  <r>
    <n v="3"/>
  </r>
  <r>
    <n v="4"/>
  </r>
  <r>
    <n v="3"/>
  </r>
  <r>
    <n v="1"/>
  </r>
  <r>
    <n v="3"/>
  </r>
  <r>
    <n v="4"/>
  </r>
  <r>
    <n v="3"/>
  </r>
  <r>
    <n v="4"/>
  </r>
  <r>
    <n v="2"/>
  </r>
  <r>
    <n v="4"/>
  </r>
  <r>
    <n v="3"/>
  </r>
  <r>
    <n v="3"/>
  </r>
  <r>
    <n v="3"/>
  </r>
  <r>
    <n v="3"/>
  </r>
  <r>
    <n v="4"/>
  </r>
  <r>
    <n v="1"/>
  </r>
  <r>
    <n v="2"/>
  </r>
  <r>
    <n v="3"/>
  </r>
  <r>
    <n v="4"/>
  </r>
  <r>
    <n v="3"/>
  </r>
  <r>
    <n v="4"/>
  </r>
  <r>
    <n v="2"/>
  </r>
  <r>
    <n v="1"/>
  </r>
  <r>
    <n v="3"/>
  </r>
  <r>
    <n v="3"/>
  </r>
  <r>
    <n v="3"/>
  </r>
  <r>
    <n v="3"/>
  </r>
  <r>
    <n v="4"/>
  </r>
  <r>
    <n v="4"/>
  </r>
  <r>
    <n v="4"/>
  </r>
  <r>
    <n v="3"/>
  </r>
  <r>
    <n v="1"/>
  </r>
  <r>
    <n v="2"/>
  </r>
  <r>
    <n v="1"/>
  </r>
  <r>
    <n v="4"/>
  </r>
  <r>
    <n v="3"/>
  </r>
  <r>
    <n v="4"/>
  </r>
  <r>
    <n v="3"/>
  </r>
  <r>
    <n v="2"/>
  </r>
  <r>
    <n v="3"/>
  </r>
  <r>
    <n v="4"/>
  </r>
  <r>
    <n v="2"/>
  </r>
  <r>
    <n v="2"/>
  </r>
  <r>
    <n v="2"/>
  </r>
  <r>
    <n v="3"/>
  </r>
  <r>
    <n v="1"/>
  </r>
  <r>
    <n v="3"/>
  </r>
  <r>
    <n v="1"/>
  </r>
  <r>
    <n v="4"/>
  </r>
  <r>
    <n v="1"/>
  </r>
  <r>
    <n v="4"/>
  </r>
  <r>
    <n v="4"/>
  </r>
  <r>
    <n v="3"/>
  </r>
  <r>
    <n v="3"/>
  </r>
  <r>
    <n v="2"/>
  </r>
  <r>
    <n v="4"/>
  </r>
  <r>
    <n v="1"/>
  </r>
  <r>
    <n v="4"/>
  </r>
  <r>
    <n v="1"/>
  </r>
  <r>
    <n v="3"/>
  </r>
  <r>
    <n v="1"/>
  </r>
  <r>
    <n v="3"/>
  </r>
  <r>
    <n v="3"/>
  </r>
  <r>
    <n v="1"/>
  </r>
  <r>
    <n v="3"/>
  </r>
  <r>
    <n v="4"/>
  </r>
  <r>
    <n v="3"/>
  </r>
  <r>
    <n v="4"/>
  </r>
  <r>
    <n v="3"/>
  </r>
  <r>
    <n v="4"/>
  </r>
  <r>
    <n v="3"/>
  </r>
  <r>
    <n v="1"/>
  </r>
  <r>
    <n v="4"/>
  </r>
  <r>
    <n v="1"/>
  </r>
  <r>
    <n v="4"/>
  </r>
  <r>
    <n v="3"/>
  </r>
  <r>
    <n v="3"/>
  </r>
  <r>
    <n v="4"/>
  </r>
  <r>
    <n v="1"/>
  </r>
  <r>
    <n v="4"/>
  </r>
  <r>
    <n v="2"/>
  </r>
  <r>
    <n v="2"/>
  </r>
  <r>
    <n v="4"/>
  </r>
  <r>
    <n v="3"/>
  </r>
  <r>
    <n v="1"/>
  </r>
  <r>
    <n v="3"/>
  </r>
  <r>
    <n v="1"/>
  </r>
  <r>
    <n v="2"/>
  </r>
  <r>
    <n v="4"/>
  </r>
  <r>
    <n v="3"/>
  </r>
  <r>
    <n v="4"/>
  </r>
  <r>
    <n v="2"/>
  </r>
  <r>
    <n v="4"/>
  </r>
  <r>
    <n v="4"/>
  </r>
  <r>
    <n v="3"/>
  </r>
  <r>
    <n v="2"/>
  </r>
  <r>
    <n v="3"/>
  </r>
  <r>
    <n v="3"/>
  </r>
  <r>
    <n v="4"/>
  </r>
  <r>
    <n v="3"/>
  </r>
  <r>
    <n v="3"/>
  </r>
  <r>
    <n v="4"/>
  </r>
  <r>
    <n v="1"/>
  </r>
  <r>
    <n v="4"/>
  </r>
  <r>
    <n v="1"/>
  </r>
  <r>
    <n v="1"/>
  </r>
  <r>
    <n v="3"/>
  </r>
  <r>
    <n v="4"/>
  </r>
  <r>
    <n v="1"/>
  </r>
  <r>
    <n v="1"/>
  </r>
  <r>
    <n v="3"/>
  </r>
  <r>
    <n v="4"/>
  </r>
  <r>
    <n v="2"/>
  </r>
  <r>
    <n v="2"/>
  </r>
  <r>
    <n v="1"/>
  </r>
  <r>
    <n v="3"/>
  </r>
  <r>
    <n v="3"/>
  </r>
  <r>
    <n v="3"/>
  </r>
  <r>
    <n v="4"/>
  </r>
  <r>
    <n v="3"/>
  </r>
  <r>
    <n v="3"/>
  </r>
  <r>
    <n v="4"/>
  </r>
  <r>
    <n v="3"/>
  </r>
  <r>
    <n v="3"/>
  </r>
  <r>
    <n v="1"/>
  </r>
  <r>
    <n v="2"/>
  </r>
  <r>
    <n v="4"/>
  </r>
  <r>
    <n v="4"/>
  </r>
  <r>
    <n v="1"/>
  </r>
  <r>
    <n v="2"/>
  </r>
  <r>
    <n v="4"/>
  </r>
  <r>
    <n v="1"/>
  </r>
  <r>
    <n v="4"/>
  </r>
  <r>
    <n v="3"/>
  </r>
  <r>
    <n v="3"/>
  </r>
  <r>
    <n v="1"/>
  </r>
  <r>
    <n v="1"/>
  </r>
  <r>
    <n v="4"/>
  </r>
  <r>
    <n v="4"/>
  </r>
  <r>
    <n v="3"/>
  </r>
  <r>
    <n v="3"/>
  </r>
  <r>
    <n v="3"/>
  </r>
  <r>
    <n v="4"/>
  </r>
  <r>
    <n v="1"/>
  </r>
  <r>
    <n v="2"/>
  </r>
  <r>
    <n v="1"/>
  </r>
  <r>
    <n v="4"/>
  </r>
  <r>
    <n v="4"/>
  </r>
  <r>
    <n v="3"/>
  </r>
  <r>
    <n v="1"/>
  </r>
  <r>
    <n v="4"/>
  </r>
  <r>
    <n v="1"/>
  </r>
  <r>
    <n v="4"/>
  </r>
  <r>
    <n v="1"/>
  </r>
  <r>
    <n v="1"/>
  </r>
  <r>
    <n v="4"/>
  </r>
  <r>
    <n v="1"/>
  </r>
  <r>
    <n v="4"/>
  </r>
  <r>
    <n v="3"/>
  </r>
  <r>
    <n v="2"/>
  </r>
  <r>
    <n v="1"/>
  </r>
  <r>
    <n v="4"/>
  </r>
  <r>
    <n v="1"/>
  </r>
  <r>
    <n v="2"/>
  </r>
  <r>
    <n v="3"/>
  </r>
  <r>
    <n v="3"/>
  </r>
  <r>
    <n v="4"/>
  </r>
  <r>
    <n v="1"/>
  </r>
  <r>
    <n v="3"/>
  </r>
  <r>
    <n v="1"/>
  </r>
  <r>
    <n v="4"/>
  </r>
  <r>
    <n v="2"/>
  </r>
  <r>
    <n v="3"/>
  </r>
  <r>
    <n v="2"/>
  </r>
  <r>
    <n v="3"/>
  </r>
  <r>
    <n v="4"/>
  </r>
  <r>
    <n v="3"/>
  </r>
  <r>
    <n v="3"/>
  </r>
  <r>
    <n v="2"/>
  </r>
  <r>
    <n v="3"/>
  </r>
  <r>
    <n v="3"/>
  </r>
  <r>
    <n v="4"/>
  </r>
  <r>
    <n v="3"/>
  </r>
  <r>
    <n v="2"/>
  </r>
  <r>
    <n v="1"/>
  </r>
  <r>
    <n v="4"/>
  </r>
  <r>
    <n v="4"/>
  </r>
  <r>
    <n v="4"/>
  </r>
  <r>
    <n v="3"/>
  </r>
  <r>
    <n v="1"/>
  </r>
  <r>
    <n v="4"/>
  </r>
  <r>
    <n v="3"/>
  </r>
  <r>
    <n v="2"/>
  </r>
  <r>
    <n v="4"/>
  </r>
  <r>
    <n v="3"/>
  </r>
  <r>
    <n v="4"/>
  </r>
  <r>
    <n v="3"/>
  </r>
  <r>
    <n v="2"/>
  </r>
  <r>
    <n v="1"/>
  </r>
  <r>
    <n v="1"/>
  </r>
  <r>
    <n v="1"/>
  </r>
  <r>
    <n v="1"/>
  </r>
  <r>
    <n v="4"/>
  </r>
  <r>
    <n v="4"/>
  </r>
  <r>
    <n v="4"/>
  </r>
  <r>
    <n v="4"/>
  </r>
  <r>
    <n v="1"/>
  </r>
  <r>
    <n v="3"/>
  </r>
  <r>
    <n v="4"/>
  </r>
  <r>
    <n v="3"/>
  </r>
  <r>
    <n v="1"/>
  </r>
  <r>
    <n v="4"/>
  </r>
  <r>
    <n v="4"/>
  </r>
  <r>
    <n v="4"/>
  </r>
  <r>
    <n v="4"/>
  </r>
  <r>
    <n v="1"/>
  </r>
  <r>
    <n v="1"/>
  </r>
  <r>
    <n v="3"/>
  </r>
  <r>
    <n v="2"/>
  </r>
  <r>
    <n v="4"/>
  </r>
  <r>
    <n v="1"/>
  </r>
  <r>
    <n v="4"/>
  </r>
  <r>
    <n v="1"/>
  </r>
  <r>
    <n v="4"/>
  </r>
  <r>
    <n v="2"/>
  </r>
  <r>
    <n v="2"/>
  </r>
  <r>
    <n v="4"/>
  </r>
  <r>
    <n v="4"/>
  </r>
  <r>
    <n v="3"/>
  </r>
  <r>
    <n v="4"/>
  </r>
  <r>
    <n v="2"/>
  </r>
  <r>
    <n v="4"/>
  </r>
  <r>
    <n v="4"/>
  </r>
  <r>
    <n v="4"/>
  </r>
  <r>
    <n v="4"/>
  </r>
  <r>
    <n v="4"/>
  </r>
  <r>
    <n v="2"/>
  </r>
  <r>
    <n v="1"/>
  </r>
  <r>
    <n v="4"/>
  </r>
  <r>
    <n v="2"/>
  </r>
  <r>
    <n v="4"/>
  </r>
  <r>
    <n v="4"/>
  </r>
  <r>
    <n v="1"/>
  </r>
  <r>
    <n v="1"/>
  </r>
  <r>
    <n v="4"/>
  </r>
  <r>
    <n v="4"/>
  </r>
  <r>
    <n v="2"/>
  </r>
  <r>
    <n v="3"/>
  </r>
  <r>
    <n v="4"/>
  </r>
  <r>
    <n v="4"/>
  </r>
  <r>
    <n v="4"/>
  </r>
  <r>
    <n v="3"/>
  </r>
  <r>
    <n v="4"/>
  </r>
  <r>
    <n v="3"/>
  </r>
  <r>
    <n v="1"/>
  </r>
  <r>
    <n v="1"/>
  </r>
  <r>
    <n v="3"/>
  </r>
  <r>
    <n v="2"/>
  </r>
  <r>
    <n v="3"/>
  </r>
  <r>
    <n v="1"/>
  </r>
  <r>
    <n v="2"/>
  </r>
  <r>
    <n v="3"/>
  </r>
  <r>
    <n v="4"/>
  </r>
  <r>
    <n v="2"/>
  </r>
  <r>
    <n v="3"/>
  </r>
  <r>
    <n v="4"/>
  </r>
  <r>
    <n v="3"/>
  </r>
  <r>
    <n v="4"/>
  </r>
  <r>
    <n v="1"/>
  </r>
  <r>
    <n v="2"/>
  </r>
  <r>
    <n v="2"/>
  </r>
  <r>
    <n v="2"/>
  </r>
  <r>
    <n v="1"/>
  </r>
  <r>
    <n v="1"/>
  </r>
  <r>
    <n v="3"/>
  </r>
  <r>
    <n v="2"/>
  </r>
  <r>
    <n v="3"/>
  </r>
  <r>
    <n v="1"/>
  </r>
  <r>
    <n v="4"/>
  </r>
  <r>
    <n v="2"/>
  </r>
  <r>
    <n v="1"/>
  </r>
  <r>
    <n v="4"/>
  </r>
  <r>
    <n v="4"/>
  </r>
  <r>
    <n v="3"/>
  </r>
  <r>
    <n v="2"/>
  </r>
  <r>
    <n v="4"/>
  </r>
  <r>
    <n v="3"/>
  </r>
  <r>
    <n v="4"/>
  </r>
  <r>
    <n v="4"/>
  </r>
  <r>
    <n v="3"/>
  </r>
  <r>
    <n v="3"/>
  </r>
  <r>
    <n v="3"/>
  </r>
  <r>
    <n v="4"/>
  </r>
  <r>
    <n v="4"/>
  </r>
  <r>
    <n v="3"/>
  </r>
  <r>
    <n v="2"/>
  </r>
  <r>
    <n v="3"/>
  </r>
  <r>
    <n v="4"/>
  </r>
  <r>
    <n v="4"/>
  </r>
  <r>
    <n v="1"/>
  </r>
  <r>
    <n v="3"/>
  </r>
  <r>
    <n v="1"/>
  </r>
  <r>
    <n v="4"/>
  </r>
  <r>
    <n v="4"/>
  </r>
  <r>
    <n v="4"/>
  </r>
  <r>
    <n v="2"/>
  </r>
  <r>
    <n v="3"/>
  </r>
  <r>
    <n v="2"/>
  </r>
  <r>
    <n v="1"/>
  </r>
  <r>
    <n v="3"/>
  </r>
  <r>
    <n v="4"/>
  </r>
  <r>
    <n v="3"/>
  </r>
  <r>
    <n v="3"/>
  </r>
  <r>
    <n v="3"/>
  </r>
  <r>
    <n v="3"/>
  </r>
  <r>
    <n v="3"/>
  </r>
  <r>
    <n v="2"/>
  </r>
  <r>
    <n v="1"/>
  </r>
  <r>
    <n v="4"/>
  </r>
  <r>
    <n v="3"/>
  </r>
  <r>
    <n v="1"/>
  </r>
  <r>
    <n v="3"/>
  </r>
  <r>
    <n v="1"/>
  </r>
  <r>
    <n v="1"/>
  </r>
  <r>
    <n v="2"/>
  </r>
  <r>
    <n v="4"/>
  </r>
  <r>
    <n v="1"/>
  </r>
  <r>
    <n v="3"/>
  </r>
  <r>
    <n v="3"/>
  </r>
  <r>
    <n v="3"/>
  </r>
  <r>
    <n v="4"/>
  </r>
  <r>
    <n v="3"/>
  </r>
  <r>
    <n v="4"/>
  </r>
  <r>
    <n v="4"/>
  </r>
  <r>
    <n v="3"/>
  </r>
  <r>
    <n v="4"/>
  </r>
  <r>
    <n v="4"/>
  </r>
  <r>
    <n v="2"/>
  </r>
  <r>
    <n v="2"/>
  </r>
  <r>
    <n v="3"/>
  </r>
  <r>
    <n v="4"/>
  </r>
  <r>
    <n v="1"/>
  </r>
  <r>
    <n v="3"/>
  </r>
  <r>
    <n v="4"/>
  </r>
  <r>
    <n v="4"/>
  </r>
  <r>
    <n v="3"/>
  </r>
  <r>
    <n v="1"/>
  </r>
  <r>
    <n v="1"/>
  </r>
  <r>
    <n v="4"/>
  </r>
  <r>
    <n v="4"/>
  </r>
  <r>
    <n v="3"/>
  </r>
  <r>
    <n v="4"/>
  </r>
  <r>
    <n v="4"/>
  </r>
  <r>
    <n v="2"/>
  </r>
  <r>
    <n v="2"/>
  </r>
  <r>
    <n v="2"/>
  </r>
  <r>
    <n v="3"/>
  </r>
  <r>
    <n v="1"/>
  </r>
  <r>
    <n v="3"/>
  </r>
  <r>
    <n v="2"/>
  </r>
  <r>
    <n v="3"/>
  </r>
  <r>
    <n v="3"/>
  </r>
  <r>
    <n v="2"/>
  </r>
  <r>
    <n v="1"/>
  </r>
  <r>
    <n v="1"/>
  </r>
  <r>
    <n v="3"/>
  </r>
  <r>
    <n v="4"/>
  </r>
  <r>
    <n v="3"/>
  </r>
  <r>
    <n v="3"/>
  </r>
  <r>
    <n v="4"/>
  </r>
  <r>
    <n v="1"/>
  </r>
  <r>
    <n v="4"/>
  </r>
  <r>
    <n v="4"/>
  </r>
  <r>
    <n v="1"/>
  </r>
  <r>
    <n v="1"/>
  </r>
  <r>
    <n v="1"/>
  </r>
  <r>
    <n v="3"/>
  </r>
  <r>
    <n v="1"/>
  </r>
  <r>
    <n v="1"/>
  </r>
  <r>
    <n v="1"/>
  </r>
  <r>
    <n v="3"/>
  </r>
  <r>
    <n v="3"/>
  </r>
  <r>
    <n v="4"/>
  </r>
  <r>
    <n v="3"/>
  </r>
  <r>
    <n v="2"/>
  </r>
  <r>
    <n v="3"/>
  </r>
  <r>
    <n v="3"/>
  </r>
  <r>
    <n v="1"/>
  </r>
  <r>
    <n v="4"/>
  </r>
  <r>
    <n v="1"/>
  </r>
  <r>
    <n v="3"/>
  </r>
  <r>
    <n v="3"/>
  </r>
  <r>
    <n v="4"/>
  </r>
  <r>
    <n v="4"/>
  </r>
  <r>
    <n v="4"/>
  </r>
  <r>
    <n v="3"/>
  </r>
  <r>
    <n v="2"/>
  </r>
  <r>
    <n v="3"/>
  </r>
  <r>
    <n v="1"/>
  </r>
  <r>
    <n v="2"/>
  </r>
  <r>
    <n v="3"/>
  </r>
  <r>
    <n v="2"/>
  </r>
  <r>
    <n v="4"/>
  </r>
  <r>
    <n v="4"/>
  </r>
  <r>
    <n v="3"/>
  </r>
  <r>
    <n v="2"/>
  </r>
  <r>
    <n v="3"/>
  </r>
  <r>
    <n v="4"/>
  </r>
  <r>
    <n v="2"/>
  </r>
  <r>
    <n v="2"/>
  </r>
  <r>
    <n v="3"/>
  </r>
  <r>
    <n v="2"/>
  </r>
  <r>
    <n v="1"/>
  </r>
  <r>
    <n v="4"/>
  </r>
  <r>
    <n v="3"/>
  </r>
  <r>
    <n v="2"/>
  </r>
  <r>
    <n v="2"/>
  </r>
  <r>
    <n v="4"/>
  </r>
  <r>
    <n v="4"/>
  </r>
  <r>
    <n v="2"/>
  </r>
  <r>
    <n v="2"/>
  </r>
  <r>
    <n v="4"/>
  </r>
  <r>
    <n v="2"/>
  </r>
  <r>
    <n v="3"/>
  </r>
  <r>
    <n v="2"/>
  </r>
  <r>
    <n v="4"/>
  </r>
  <r>
    <n v="4"/>
  </r>
  <r>
    <n v="3"/>
  </r>
  <r>
    <n v="3"/>
  </r>
  <r>
    <n v="3"/>
  </r>
  <r>
    <n v="2"/>
  </r>
  <r>
    <n v="1"/>
  </r>
  <r>
    <n v="4"/>
  </r>
  <r>
    <n v="3"/>
  </r>
  <r>
    <n v="4"/>
  </r>
  <r>
    <n v="3"/>
  </r>
  <r>
    <n v="3"/>
  </r>
  <r>
    <n v="3"/>
  </r>
  <r>
    <n v="1"/>
  </r>
  <r>
    <n v="3"/>
  </r>
  <r>
    <n v="1"/>
  </r>
  <r>
    <n v="4"/>
  </r>
  <r>
    <n v="1"/>
  </r>
  <r>
    <n v="3"/>
  </r>
  <r>
    <n v="2"/>
  </r>
  <r>
    <n v="4"/>
  </r>
  <r>
    <n v="4"/>
  </r>
  <r>
    <n v="3"/>
  </r>
  <r>
    <n v="4"/>
  </r>
  <r>
    <n v="2"/>
  </r>
  <r>
    <n v="1"/>
  </r>
  <r>
    <n v="4"/>
  </r>
  <r>
    <n v="4"/>
  </r>
  <r>
    <n v="3"/>
  </r>
  <r>
    <n v="1"/>
  </r>
  <r>
    <n v="1"/>
  </r>
  <r>
    <n v="4"/>
  </r>
  <r>
    <n v="1"/>
  </r>
  <r>
    <n v="3"/>
  </r>
  <r>
    <n v="4"/>
  </r>
  <r>
    <n v="3"/>
  </r>
  <r>
    <n v="3"/>
  </r>
  <r>
    <n v="3"/>
  </r>
  <r>
    <n v="1"/>
  </r>
  <r>
    <n v="4"/>
  </r>
  <r>
    <n v="4"/>
  </r>
  <r>
    <n v="1"/>
  </r>
  <r>
    <n v="3"/>
  </r>
  <r>
    <n v="3"/>
  </r>
  <r>
    <n v="1"/>
  </r>
  <r>
    <n v="1"/>
  </r>
  <r>
    <n v="2"/>
  </r>
  <r>
    <n v="1"/>
  </r>
  <r>
    <n v="1"/>
  </r>
  <r>
    <n v="1"/>
  </r>
  <r>
    <n v="2"/>
  </r>
  <r>
    <n v="1"/>
  </r>
  <r>
    <n v="2"/>
  </r>
  <r>
    <n v="3"/>
  </r>
  <r>
    <n v="3"/>
  </r>
  <r>
    <n v="3"/>
  </r>
  <r>
    <n v="4"/>
  </r>
  <r>
    <n v="4"/>
  </r>
  <r>
    <n v="4"/>
  </r>
  <r>
    <n v="1"/>
  </r>
  <r>
    <n v="3"/>
  </r>
  <r>
    <n v="4"/>
  </r>
  <r>
    <n v="2"/>
  </r>
  <r>
    <n v="3"/>
  </r>
  <r>
    <n v="1"/>
  </r>
  <r>
    <n v="4"/>
  </r>
  <r>
    <n v="2"/>
  </r>
  <r>
    <n v="4"/>
  </r>
  <r>
    <n v="2"/>
  </r>
  <r>
    <n v="1"/>
  </r>
  <r>
    <n v="4"/>
  </r>
  <r>
    <n v="2"/>
  </r>
  <r>
    <n v="1"/>
  </r>
  <r>
    <n v="3"/>
  </r>
  <r>
    <n v="4"/>
  </r>
  <r>
    <n v="2"/>
  </r>
  <r>
    <n v="4"/>
  </r>
  <r>
    <n v="4"/>
  </r>
  <r>
    <n v="1"/>
  </r>
  <r>
    <n v="1"/>
  </r>
  <r>
    <n v="4"/>
  </r>
  <r>
    <n v="4"/>
  </r>
  <r>
    <n v="4"/>
  </r>
  <r>
    <n v="3"/>
  </r>
  <r>
    <n v="2"/>
  </r>
  <r>
    <n v="2"/>
  </r>
  <r>
    <n v="3"/>
  </r>
  <r>
    <n v="4"/>
  </r>
  <r>
    <n v="4"/>
  </r>
  <r>
    <n v="4"/>
  </r>
  <r>
    <n v="3"/>
  </r>
  <r>
    <n v="2"/>
  </r>
  <r>
    <n v="3"/>
  </r>
  <r>
    <n v="3"/>
  </r>
  <r>
    <n v="4"/>
  </r>
  <r>
    <n v="3"/>
  </r>
  <r>
    <n v="4"/>
  </r>
  <r>
    <n v="4"/>
  </r>
  <r>
    <n v="2"/>
  </r>
  <r>
    <n v="2"/>
  </r>
  <r>
    <n v="3"/>
  </r>
  <r>
    <n v="2"/>
  </r>
  <r>
    <n v="1"/>
  </r>
  <r>
    <n v="2"/>
  </r>
  <r>
    <n v="4"/>
  </r>
  <r>
    <n v="4"/>
  </r>
  <r>
    <n v="2"/>
  </r>
  <r>
    <n v="3"/>
  </r>
  <r>
    <n v="1"/>
  </r>
  <r>
    <n v="2"/>
  </r>
  <r>
    <n v="3"/>
  </r>
  <r>
    <n v="2"/>
  </r>
  <r>
    <n v="4"/>
  </r>
  <r>
    <n v="2"/>
  </r>
  <r>
    <n v="4"/>
  </r>
  <r>
    <n v="4"/>
  </r>
  <r>
    <n v="4"/>
  </r>
  <r>
    <n v="3"/>
  </r>
  <r>
    <n v="3"/>
  </r>
  <r>
    <n v="3"/>
  </r>
  <r>
    <n v="1"/>
  </r>
  <r>
    <n v="2"/>
  </r>
  <r>
    <n v="4"/>
  </r>
  <r>
    <n v="2"/>
  </r>
  <r>
    <n v="2"/>
  </r>
  <r>
    <n v="3"/>
  </r>
  <r>
    <n v="2"/>
  </r>
  <r>
    <n v="3"/>
  </r>
  <r>
    <n v="1"/>
  </r>
  <r>
    <n v="4"/>
  </r>
  <r>
    <n v="3"/>
  </r>
  <r>
    <n v="1"/>
  </r>
  <r>
    <n v="4"/>
  </r>
  <r>
    <n v="1"/>
  </r>
  <r>
    <n v="2"/>
  </r>
  <r>
    <n v="2"/>
  </r>
  <r>
    <n v="1"/>
  </r>
  <r>
    <n v="4"/>
  </r>
  <r>
    <n v="3"/>
  </r>
  <r>
    <n v="3"/>
  </r>
  <r>
    <n v="2"/>
  </r>
  <r>
    <n v="2"/>
  </r>
  <r>
    <n v="1"/>
  </r>
  <r>
    <n v="3"/>
  </r>
  <r>
    <n v="3"/>
  </r>
  <r>
    <n v="2"/>
  </r>
  <r>
    <n v="3"/>
  </r>
  <r>
    <n v="4"/>
  </r>
  <r>
    <n v="1"/>
  </r>
  <r>
    <n v="4"/>
  </r>
  <r>
    <n v="1"/>
  </r>
  <r>
    <n v="3"/>
  </r>
  <r>
    <n v="2"/>
  </r>
  <r>
    <n v="1"/>
  </r>
  <r>
    <n v="1"/>
  </r>
  <r>
    <n v="4"/>
  </r>
  <r>
    <n v="1"/>
  </r>
  <r>
    <n v="2"/>
  </r>
  <r>
    <n v="1"/>
  </r>
  <r>
    <n v="4"/>
  </r>
  <r>
    <n v="4"/>
  </r>
  <r>
    <n v="4"/>
  </r>
  <r>
    <n v="2"/>
  </r>
  <r>
    <n v="4"/>
  </r>
  <r>
    <n v="4"/>
  </r>
  <r>
    <n v="4"/>
  </r>
  <r>
    <n v="3"/>
  </r>
  <r>
    <n v="2"/>
  </r>
  <r>
    <n v="3"/>
  </r>
  <r>
    <n v="3"/>
  </r>
  <r>
    <n v="4"/>
  </r>
  <r>
    <n v="3"/>
  </r>
  <r>
    <n v="4"/>
  </r>
  <r>
    <n v="3"/>
  </r>
  <r>
    <n v="3"/>
  </r>
  <r>
    <n v="4"/>
  </r>
  <r>
    <n v="1"/>
  </r>
  <r>
    <n v="3"/>
  </r>
  <r>
    <n v="4"/>
  </r>
  <r>
    <n v="2"/>
  </r>
  <r>
    <n v="4"/>
  </r>
  <r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38" applyNumberFormats="0" applyBorderFormats="0" applyFontFormats="0" applyPatternFormats="0" applyAlignmentFormats="0" applyWidthHeightFormats="1" dataCaption="Values" tag="d7c897c3-3ac1-4ec6-b06a-d146811d1819" updatedVersion="6" minRefreshableVersion="3" useAutoFormatting="1" itemPrintTitles="1" createdVersion="6" indent="0" outline="1" outlineData="1" multipleFieldFilters="0">
  <location ref="A3:B16" firstHeaderRow="1" firstDataRow="1" firstDataCol="1"/>
  <pivotFields count="2">
    <pivotField axis="axisRow" allDrilled="1" showAll="0" sortType="ascending" defaultAttributeDrillState="1">
      <items count="13">
        <item x="4"/>
        <item x="3"/>
        <item x="7"/>
        <item x="0"/>
        <item x="8"/>
        <item x="6"/>
        <item x="5"/>
        <item x="1"/>
        <item x="11"/>
        <item x="10"/>
        <item x="9"/>
        <item x="2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Month" fld="1" subtotal="count" baseField="0" baseItem="0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1]"/>
        <x15:activeTabTopLevelEntity name="[Table1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5" cacheId="139" applyNumberFormats="0" applyBorderFormats="0" applyFontFormats="0" applyPatternFormats="0" applyAlignmentFormats="0" applyWidthHeightFormats="1" dataCaption="Values" tag="d768b097-cc8c-483b-9e4a-db537b2489a1" updatedVersion="6" minRefreshableVersion="3" useAutoFormatting="1" itemPrintTitles="1" createdVersion="6" indent="0" outline="1" outlineData="1" multipleFieldFilters="0">
  <location ref="A3:D7" firstHeaderRow="1" firstDataRow="2" firstDataCol="1"/>
  <pivotFields count="3">
    <pivotField axis="axisRow" allDrilled="1" showAll="0" dataSourceSort="1" defaultAttributeDrillState="1">
      <items count="3">
        <item x="0"/>
        <item x="1"/>
        <item t="default"/>
      </items>
    </pivotField>
    <pivotField axis="axisCol" allDrilled="1" showAll="0" dataSourceSort="1" defaultAttributeDrillState="1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EMP ID" fld="2" subtotal="count" baseField="0" baseItem="0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2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1]"/>
        <x15:activeTabTopLevelEntity name="[Table1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8" cacheId="150" applyNumberFormats="0" applyBorderFormats="0" applyFontFormats="0" applyPatternFormats="0" applyAlignmentFormats="0" applyWidthHeightFormats="1" dataCaption="Values" tag="d253728b-38bf-42d6-b601-1102ac788e1a" updatedVersion="6" minRefreshableVersion="3" useAutoFormatting="1" itemPrintTitles="1" createdVersion="6" indent="0" outline="1" outlineData="1" multipleFieldFilters="0">
  <location ref="A3:B9" firstHeaderRow="1" firstDataRow="1" firstDataCol="1"/>
  <pivotFields count="2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 ID" fld="1" subtotal="count" baseField="0" baseItem="0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1]"/>
        <x15:activeTabTopLevelEntity name="[Table1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9" cacheId="161" applyNumberFormats="0" applyBorderFormats="0" applyFontFormats="0" applyPatternFormats="0" applyAlignmentFormats="0" applyWidthHeightFormats="1" dataCaption="Values" tag="1ec2bf34-9f9b-45e5-bb89-f55c9be253e4" updatedVersion="6" minRefreshableVersion="3" useAutoFormatting="1" itemPrintTitles="1" createdVersion="6" indent="0" outline="1" outlineData="1" multipleFieldFilters="0">
  <location ref="A3:B7" firstHeaderRow="1" firstDataRow="1" firstDataCol="1"/>
  <pivotFields count="2"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 ID" fld="1" subtotal="count" baseField="0" baseItem="0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1]"/>
        <x15:activeTabTopLevelEntity name="[Table1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7" cacheId="141" applyNumberFormats="0" applyBorderFormats="0" applyFontFormats="0" applyPatternFormats="0" applyAlignmentFormats="0" applyWidthHeightFormats="1" dataCaption="Values" tag="821145d2-3997-422e-9665-c3d91125e6b3" updatedVersion="6" minRefreshableVersion="3" useAutoFormatting="1" itemPrintTitles="1" createdVersion="6" indent="0" outline="1" outlineData="1" multipleFieldFilters="0">
  <location ref="A3:B9" firstHeaderRow="1" firstDataRow="1" firstDataCol="1"/>
  <pivotFields count="2"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 ID" fld="1" subtotal="count" baseField="0" baseItem="0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Range2]"/>
        <x15:activeTabTopLevelEntity name="[Table1]"/>
      </x15:pivotTableUISettings>
    </ext>
  </extLst>
</pivotTableDefinition>
</file>

<file path=xl/pivotTables/pivotTable6.xml><?xml version="1.0" encoding="utf-8"?>
<pivotTableDefinition xmlns="http://schemas.openxmlformats.org/spreadsheetml/2006/main" name="PivotTable6" cacheId="9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20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V1466" totalsRowShown="0">
  <autoFilter ref="A1:V1466"/>
  <sortState ref="A2:P1466">
    <sortCondition ref="A1:A1466"/>
  </sortState>
  <tableColumns count="22">
    <tableColumn id="36" name="EMP ID" dataDxfId="11"/>
    <tableColumn id="1" name="Age"/>
    <tableColumn id="4" name="DailyRate ($)"/>
    <tableColumn id="5" name="Department"/>
    <tableColumn id="38" name="Education" dataDxfId="10"/>
    <tableColumn id="6" name=" Gender" dataDxfId="9"/>
    <tableColumn id="13" name="HourlyRate"/>
    <tableColumn id="14" name="JobInvolvement"/>
    <tableColumn id="15" name="JobLevel"/>
    <tableColumn id="40" name="Prefix" dataDxfId="8"/>
    <tableColumn id="3" name="Job Role"/>
    <tableColumn id="17" name="JobSatisfaction"/>
    <tableColumn id="18" name="MaritalStatus"/>
    <tableColumn id="21" name="NumCompaniesWorked"/>
    <tableColumn id="23" name="OverTime"/>
    <tableColumn id="29" name="TotalWorkingYears"/>
    <tableColumn id="2" name="Hiring Date" dataDxfId="7"/>
    <tableColumn id="16" name="Months List" dataDxfId="3"/>
    <tableColumn id="10" name="Month" dataDxfId="2">
      <calculatedColumnFormula>TEXT(Table1[[#This Row],[Hiring Date]],"mmmm")</calculatedColumnFormula>
    </tableColumn>
    <tableColumn id="22" name="Hiring Count of Months " dataDxfId="4">
      <calculatedColumnFormula>COUNTIF(S:S,Table1[[#This Row],[Months List]])</calculatedColumnFormula>
    </tableColumn>
    <tableColumn id="11" name="Day" dataDxfId="6">
      <calculatedColumnFormula>TEXT(Table1[[#This Row],[Hiring Date]],"dddd")</calculatedColumnFormula>
    </tableColumn>
    <tableColumn id="12" name="Year" dataDxfId="5">
      <calculatedColumnFormula>TEXT(Table1[[#This Row],[Hiring Date]],"yyyy")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66"/>
  <sheetViews>
    <sheetView topLeftCell="D1" zoomScale="81" zoomScaleNormal="81" workbookViewId="0">
      <selection activeCell="L1" sqref="L1:L1048576"/>
    </sheetView>
  </sheetViews>
  <sheetFormatPr defaultRowHeight="14.25"/>
  <cols>
    <col min="1" max="1" width="9.375" customWidth="1"/>
    <col min="2" max="2" width="8.875" customWidth="1"/>
    <col min="3" max="3" width="19.375" customWidth="1"/>
    <col min="4" max="4" width="27.625" customWidth="1"/>
    <col min="5" max="6" width="25" customWidth="1"/>
    <col min="7" max="7" width="9.625" customWidth="1"/>
    <col min="8" max="8" width="21.875" customWidth="1"/>
    <col min="9" max="9" width="11.125" customWidth="1"/>
    <col min="10" max="10" width="19.25" customWidth="1"/>
    <col min="11" max="11" width="15.125" customWidth="1"/>
    <col min="12" max="12" width="12.875" customWidth="1"/>
    <col min="13" max="13" width="18.375" customWidth="1"/>
    <col min="14" max="14" width="17.875" customWidth="1"/>
    <col min="15" max="15" width="19.25" customWidth="1"/>
    <col min="16" max="16" width="17" customWidth="1"/>
    <col min="17" max="18" width="17.125" style="1" customWidth="1"/>
    <col min="19" max="19" width="21.375" customWidth="1"/>
    <col min="20" max="20" width="13.75" customWidth="1"/>
  </cols>
  <sheetData>
    <row r="1" spans="1:22">
      <c r="A1" t="s">
        <v>1471</v>
      </c>
      <c r="B1" t="s">
        <v>0</v>
      </c>
      <c r="C1" t="s">
        <v>1472</v>
      </c>
      <c r="D1" t="s">
        <v>1</v>
      </c>
      <c r="E1" t="s">
        <v>1493</v>
      </c>
      <c r="F1" t="s">
        <v>1494</v>
      </c>
      <c r="G1" t="s">
        <v>2</v>
      </c>
      <c r="H1" t="s">
        <v>3</v>
      </c>
      <c r="I1" t="s">
        <v>4</v>
      </c>
      <c r="J1" t="s">
        <v>1492</v>
      </c>
      <c r="K1" t="s">
        <v>1491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s="1" t="s">
        <v>1473</v>
      </c>
      <c r="R1" s="1" t="s">
        <v>1521</v>
      </c>
      <c r="S1" t="s">
        <v>1506</v>
      </c>
      <c r="T1" t="s">
        <v>1523</v>
      </c>
      <c r="U1" t="s">
        <v>1507</v>
      </c>
      <c r="V1" t="s">
        <v>1508</v>
      </c>
    </row>
    <row r="2" spans="1:22">
      <c r="A2" t="s">
        <v>107</v>
      </c>
      <c r="B2">
        <v>46</v>
      </c>
      <c r="C2">
        <v>669</v>
      </c>
      <c r="D2" t="s">
        <v>11</v>
      </c>
      <c r="E2" t="s">
        <v>1495</v>
      </c>
      <c r="F2" t="s">
        <v>1496</v>
      </c>
      <c r="G2">
        <v>64</v>
      </c>
      <c r="H2">
        <v>2</v>
      </c>
      <c r="I2">
        <v>3</v>
      </c>
      <c r="J2" t="s">
        <v>1474</v>
      </c>
      <c r="K2" t="s">
        <v>1475</v>
      </c>
      <c r="L2">
        <v>4</v>
      </c>
      <c r="M2" t="s">
        <v>12</v>
      </c>
      <c r="N2">
        <v>1</v>
      </c>
      <c r="O2" t="s">
        <v>13</v>
      </c>
      <c r="P2">
        <v>9</v>
      </c>
      <c r="Q2" s="4">
        <v>45729</v>
      </c>
      <c r="R2" s="6" t="s">
        <v>1509</v>
      </c>
      <c r="S2" t="str">
        <f>TEXT(Table1[[#This Row],[Hiring Date]],"mmmm")</f>
        <v>March</v>
      </c>
      <c r="T2">
        <f>COUNTIF(S:S,Table1[[#This Row],[Months List]])</f>
        <v>110</v>
      </c>
      <c r="U2" t="str">
        <f>TEXT(Table1[[#This Row],[Hiring Date]],"dddd")</f>
        <v>Thursday</v>
      </c>
      <c r="V2" s="1" t="str">
        <f>TEXT(Table1[[#This Row],[Hiring Date]],"yyyy")</f>
        <v>2025</v>
      </c>
    </row>
    <row r="3" spans="1:22">
      <c r="A3" t="s">
        <v>1007</v>
      </c>
      <c r="B3">
        <v>37</v>
      </c>
      <c r="C3">
        <v>1439</v>
      </c>
      <c r="D3" t="s">
        <v>14</v>
      </c>
      <c r="E3" t="s">
        <v>1497</v>
      </c>
      <c r="F3" t="s">
        <v>1496</v>
      </c>
      <c r="G3">
        <v>54</v>
      </c>
      <c r="H3">
        <v>3</v>
      </c>
      <c r="I3">
        <v>1</v>
      </c>
      <c r="J3" t="s">
        <v>1476</v>
      </c>
      <c r="K3" t="s">
        <v>1477</v>
      </c>
      <c r="L3">
        <v>3</v>
      </c>
      <c r="M3" t="s">
        <v>15</v>
      </c>
      <c r="N3">
        <v>7</v>
      </c>
      <c r="O3" t="s">
        <v>10</v>
      </c>
      <c r="P3">
        <v>8</v>
      </c>
      <c r="Q3" s="4">
        <v>45815</v>
      </c>
      <c r="R3" s="6" t="s">
        <v>1510</v>
      </c>
      <c r="S3" t="str">
        <f>TEXT(Table1[[#This Row],[Hiring Date]],"mmmm")</f>
        <v>June</v>
      </c>
      <c r="T3">
        <f>COUNTIF(S:S,Table1[[#This Row],[Months List]])</f>
        <v>99</v>
      </c>
      <c r="U3" t="str">
        <f>TEXT(Table1[[#This Row],[Hiring Date]],"dddd")</f>
        <v>Saturday</v>
      </c>
      <c r="V3" s="1" t="str">
        <f>TEXT(Table1[[#This Row],[Hiring Date]],"yyyy")</f>
        <v>2025</v>
      </c>
    </row>
    <row r="4" spans="1:22">
      <c r="A4" t="s">
        <v>1008</v>
      </c>
      <c r="B4">
        <v>33</v>
      </c>
      <c r="C4">
        <v>1111</v>
      </c>
      <c r="D4" t="s">
        <v>11</v>
      </c>
      <c r="E4" t="s">
        <v>1497</v>
      </c>
      <c r="F4" t="s">
        <v>1496</v>
      </c>
      <c r="G4">
        <v>61</v>
      </c>
      <c r="H4">
        <v>3</v>
      </c>
      <c r="I4">
        <v>2</v>
      </c>
      <c r="J4" t="s">
        <v>1474</v>
      </c>
      <c r="K4" t="s">
        <v>1475</v>
      </c>
      <c r="L4">
        <v>4</v>
      </c>
      <c r="M4" t="s">
        <v>15</v>
      </c>
      <c r="N4">
        <v>6</v>
      </c>
      <c r="O4" t="s">
        <v>13</v>
      </c>
      <c r="P4">
        <v>8</v>
      </c>
      <c r="Q4" s="4">
        <v>45962</v>
      </c>
      <c r="R4" s="6" t="s">
        <v>1511</v>
      </c>
      <c r="S4" t="str">
        <f>TEXT(Table1[[#This Row],[Hiring Date]],"mmmm")</f>
        <v>November</v>
      </c>
      <c r="T4">
        <f>COUNTIF(S:S,Table1[[#This Row],[Months List]])</f>
        <v>123</v>
      </c>
      <c r="U4" t="str">
        <f>TEXT(Table1[[#This Row],[Hiring Date]],"dddd")</f>
        <v>Saturday</v>
      </c>
      <c r="V4" s="1" t="str">
        <f>TEXT(Table1[[#This Row],[Hiring Date]],"yyyy")</f>
        <v>2025</v>
      </c>
    </row>
    <row r="5" spans="1:22">
      <c r="A5" t="s">
        <v>1009</v>
      </c>
      <c r="B5">
        <v>32</v>
      </c>
      <c r="C5">
        <v>499</v>
      </c>
      <c r="D5" t="s">
        <v>11</v>
      </c>
      <c r="E5" t="s">
        <v>1498</v>
      </c>
      <c r="F5" t="s">
        <v>1496</v>
      </c>
      <c r="G5">
        <v>36</v>
      </c>
      <c r="H5">
        <v>3</v>
      </c>
      <c r="I5">
        <v>2</v>
      </c>
      <c r="J5" t="s">
        <v>1474</v>
      </c>
      <c r="K5" t="s">
        <v>1475</v>
      </c>
      <c r="L5">
        <v>2</v>
      </c>
      <c r="M5" t="s">
        <v>15</v>
      </c>
      <c r="N5">
        <v>0</v>
      </c>
      <c r="O5" t="s">
        <v>10</v>
      </c>
      <c r="P5">
        <v>4</v>
      </c>
      <c r="Q5" s="4">
        <v>45773</v>
      </c>
      <c r="R5" s="6" t="s">
        <v>1512</v>
      </c>
      <c r="S5" t="str">
        <f>TEXT(Table1[[#This Row],[Hiring Date]],"mmmm")</f>
        <v>April</v>
      </c>
      <c r="T5">
        <f>COUNTIF(S:S,Table1[[#This Row],[Months List]])</f>
        <v>129</v>
      </c>
      <c r="U5" t="str">
        <f>TEXT(Table1[[#This Row],[Hiring Date]],"dddd")</f>
        <v>Saturday</v>
      </c>
      <c r="V5" s="1" t="str">
        <f>TEXT(Table1[[#This Row],[Hiring Date]],"yyyy")</f>
        <v>2025</v>
      </c>
    </row>
    <row r="6" spans="1:22">
      <c r="A6" t="s">
        <v>1010</v>
      </c>
      <c r="B6">
        <v>39</v>
      </c>
      <c r="C6">
        <v>1485</v>
      </c>
      <c r="D6" t="s">
        <v>14</v>
      </c>
      <c r="E6" t="s">
        <v>1497</v>
      </c>
      <c r="F6" t="s">
        <v>1496</v>
      </c>
      <c r="G6">
        <v>71</v>
      </c>
      <c r="H6">
        <v>3</v>
      </c>
      <c r="I6">
        <v>3</v>
      </c>
      <c r="J6" t="s">
        <v>1478</v>
      </c>
      <c r="K6" t="s">
        <v>1479</v>
      </c>
      <c r="L6">
        <v>3</v>
      </c>
      <c r="M6" t="s">
        <v>15</v>
      </c>
      <c r="N6">
        <v>3</v>
      </c>
      <c r="O6" t="s">
        <v>13</v>
      </c>
      <c r="P6">
        <v>13</v>
      </c>
      <c r="Q6" s="4">
        <v>45757</v>
      </c>
      <c r="R6" s="6" t="s">
        <v>1513</v>
      </c>
      <c r="S6" t="str">
        <f>TEXT(Table1[[#This Row],[Hiring Date]],"mmmm")</f>
        <v>April</v>
      </c>
      <c r="T6">
        <f>COUNTIF(S:S,Table1[[#This Row],[Months List]])</f>
        <v>119</v>
      </c>
      <c r="U6" t="str">
        <f>TEXT(Table1[[#This Row],[Hiring Date]],"dddd")</f>
        <v>Thursday</v>
      </c>
      <c r="V6" s="1" t="str">
        <f>TEXT(Table1[[#This Row],[Hiring Date]],"yyyy")</f>
        <v>2025</v>
      </c>
    </row>
    <row r="7" spans="1:22">
      <c r="A7" t="s">
        <v>1011</v>
      </c>
      <c r="B7">
        <v>25</v>
      </c>
      <c r="C7">
        <v>1372</v>
      </c>
      <c r="D7" t="s">
        <v>11</v>
      </c>
      <c r="E7" t="s">
        <v>1497</v>
      </c>
      <c r="F7" t="s">
        <v>1496</v>
      </c>
      <c r="G7">
        <v>93</v>
      </c>
      <c r="H7">
        <v>4</v>
      </c>
      <c r="I7">
        <v>2</v>
      </c>
      <c r="J7" t="s">
        <v>1474</v>
      </c>
      <c r="K7" t="s">
        <v>1475</v>
      </c>
      <c r="L7">
        <v>3</v>
      </c>
      <c r="M7" t="s">
        <v>15</v>
      </c>
      <c r="N7">
        <v>2</v>
      </c>
      <c r="O7" t="s">
        <v>13</v>
      </c>
      <c r="P7">
        <v>6</v>
      </c>
      <c r="Q7" s="4">
        <v>45830</v>
      </c>
      <c r="R7" s="6" t="s">
        <v>1514</v>
      </c>
      <c r="S7" t="str">
        <f>TEXT(Table1[[#This Row],[Hiring Date]],"mmmm")</f>
        <v>June</v>
      </c>
      <c r="T7">
        <f>COUNTIF(S:S,Table1[[#This Row],[Months List]])</f>
        <v>140</v>
      </c>
      <c r="U7" t="str">
        <f>TEXT(Table1[[#This Row],[Hiring Date]],"dddd")</f>
        <v>Sunday</v>
      </c>
      <c r="V7" s="1" t="str">
        <f>TEXT(Table1[[#This Row],[Hiring Date]],"yyyy")</f>
        <v>2025</v>
      </c>
    </row>
    <row r="8" spans="1:22">
      <c r="A8" t="s">
        <v>1012</v>
      </c>
      <c r="B8">
        <v>52</v>
      </c>
      <c r="C8">
        <v>322</v>
      </c>
      <c r="D8" t="s">
        <v>14</v>
      </c>
      <c r="E8" t="s">
        <v>1495</v>
      </c>
      <c r="F8" t="s">
        <v>1499</v>
      </c>
      <c r="G8">
        <v>59</v>
      </c>
      <c r="H8">
        <v>4</v>
      </c>
      <c r="I8">
        <v>4</v>
      </c>
      <c r="J8" t="s">
        <v>1480</v>
      </c>
      <c r="K8" t="s">
        <v>1481</v>
      </c>
      <c r="L8">
        <v>3</v>
      </c>
      <c r="M8" t="s">
        <v>15</v>
      </c>
      <c r="N8">
        <v>2</v>
      </c>
      <c r="O8" t="s">
        <v>10</v>
      </c>
      <c r="P8">
        <v>24</v>
      </c>
      <c r="Q8" s="4">
        <v>45968</v>
      </c>
      <c r="R8" s="6" t="s">
        <v>1515</v>
      </c>
      <c r="S8" t="str">
        <f>TEXT(Table1[[#This Row],[Hiring Date]],"mmmm")</f>
        <v>November</v>
      </c>
      <c r="T8">
        <f>COUNTIF(S:S,Table1[[#This Row],[Months List]])</f>
        <v>113</v>
      </c>
      <c r="U8" t="str">
        <f>TEXT(Table1[[#This Row],[Hiring Date]],"dddd")</f>
        <v>Friday</v>
      </c>
      <c r="V8" s="1" t="str">
        <f>TEXT(Table1[[#This Row],[Hiring Date]],"yyyy")</f>
        <v>2025</v>
      </c>
    </row>
    <row r="9" spans="1:22">
      <c r="A9" t="s">
        <v>1013</v>
      </c>
      <c r="B9">
        <v>43</v>
      </c>
      <c r="C9">
        <v>930</v>
      </c>
      <c r="D9" t="s">
        <v>14</v>
      </c>
      <c r="E9" t="s">
        <v>1495</v>
      </c>
      <c r="F9" t="s">
        <v>1499</v>
      </c>
      <c r="G9">
        <v>73</v>
      </c>
      <c r="H9">
        <v>2</v>
      </c>
      <c r="I9">
        <v>2</v>
      </c>
      <c r="J9" t="s">
        <v>1476</v>
      </c>
      <c r="K9" t="s">
        <v>1477</v>
      </c>
      <c r="L9">
        <v>3</v>
      </c>
      <c r="M9" t="s">
        <v>12</v>
      </c>
      <c r="N9">
        <v>1</v>
      </c>
      <c r="O9" t="s">
        <v>10</v>
      </c>
      <c r="P9">
        <v>20</v>
      </c>
      <c r="Q9" s="4">
        <v>45896</v>
      </c>
      <c r="R9" s="6" t="s">
        <v>1516</v>
      </c>
      <c r="S9" t="str">
        <f>TEXT(Table1[[#This Row],[Hiring Date]],"mmmm")</f>
        <v>August</v>
      </c>
      <c r="T9">
        <f>COUNTIF(S:S,Table1[[#This Row],[Months List]])</f>
        <v>143</v>
      </c>
      <c r="U9" t="str">
        <f>TEXT(Table1[[#This Row],[Hiring Date]],"dddd")</f>
        <v>Wednesday</v>
      </c>
      <c r="V9" s="1" t="str">
        <f>TEXT(Table1[[#This Row],[Hiring Date]],"yyyy")</f>
        <v>2025</v>
      </c>
    </row>
    <row r="10" spans="1:22">
      <c r="A10" t="s">
        <v>1014</v>
      </c>
      <c r="B10">
        <v>27</v>
      </c>
      <c r="C10">
        <v>205</v>
      </c>
      <c r="D10" t="s">
        <v>11</v>
      </c>
      <c r="E10" t="s">
        <v>1498</v>
      </c>
      <c r="F10" t="s">
        <v>1499</v>
      </c>
      <c r="G10">
        <v>98</v>
      </c>
      <c r="H10">
        <v>2</v>
      </c>
      <c r="I10">
        <v>2</v>
      </c>
      <c r="J10" t="s">
        <v>1474</v>
      </c>
      <c r="K10" t="s">
        <v>1475</v>
      </c>
      <c r="L10">
        <v>4</v>
      </c>
      <c r="M10" t="s">
        <v>15</v>
      </c>
      <c r="N10">
        <v>1</v>
      </c>
      <c r="O10" t="s">
        <v>10</v>
      </c>
      <c r="P10">
        <v>6</v>
      </c>
      <c r="Q10" s="4">
        <v>45843</v>
      </c>
      <c r="R10" s="6" t="s">
        <v>1517</v>
      </c>
      <c r="S10" t="str">
        <f>TEXT(Table1[[#This Row],[Hiring Date]],"mmmm")</f>
        <v>July</v>
      </c>
      <c r="T10">
        <f>COUNTIF(S:S,Table1[[#This Row],[Months List]])</f>
        <v>125</v>
      </c>
      <c r="U10" t="str">
        <f>TEXT(Table1[[#This Row],[Hiring Date]],"dddd")</f>
        <v>Saturday</v>
      </c>
      <c r="V10" s="1" t="str">
        <f>TEXT(Table1[[#This Row],[Hiring Date]],"yyyy")</f>
        <v>2025</v>
      </c>
    </row>
    <row r="11" spans="1:22">
      <c r="A11" t="s">
        <v>1015</v>
      </c>
      <c r="B11">
        <v>27</v>
      </c>
      <c r="C11">
        <v>135</v>
      </c>
      <c r="D11" t="s">
        <v>14</v>
      </c>
      <c r="E11" t="s">
        <v>1497</v>
      </c>
      <c r="F11" t="s">
        <v>1499</v>
      </c>
      <c r="G11">
        <v>51</v>
      </c>
      <c r="H11">
        <v>3</v>
      </c>
      <c r="I11">
        <v>1</v>
      </c>
      <c r="J11" t="s">
        <v>1476</v>
      </c>
      <c r="K11" t="s">
        <v>1477</v>
      </c>
      <c r="L11">
        <v>3</v>
      </c>
      <c r="M11" t="s">
        <v>12</v>
      </c>
      <c r="N11">
        <v>1</v>
      </c>
      <c r="O11" t="s">
        <v>10</v>
      </c>
      <c r="P11">
        <v>8</v>
      </c>
      <c r="Q11" s="4">
        <v>45776</v>
      </c>
      <c r="R11" s="6" t="s">
        <v>1518</v>
      </c>
      <c r="S11" t="str">
        <f>TEXT(Table1[[#This Row],[Hiring Date]],"mmmm")</f>
        <v>April</v>
      </c>
      <c r="T11">
        <f>COUNTIF(S:S,Table1[[#This Row],[Months List]])</f>
        <v>127</v>
      </c>
      <c r="U11" t="str">
        <f>TEXT(Table1[[#This Row],[Hiring Date]],"dddd")</f>
        <v>Tuesday</v>
      </c>
      <c r="V11" s="1" t="str">
        <f>TEXT(Table1[[#This Row],[Hiring Date]],"yyyy")</f>
        <v>2025</v>
      </c>
    </row>
    <row r="12" spans="1:22">
      <c r="A12" t="s">
        <v>1016</v>
      </c>
      <c r="B12">
        <v>26</v>
      </c>
      <c r="C12">
        <v>683</v>
      </c>
      <c r="D12" t="s">
        <v>14</v>
      </c>
      <c r="E12" t="s">
        <v>1495</v>
      </c>
      <c r="F12" t="s">
        <v>1496</v>
      </c>
      <c r="G12">
        <v>36</v>
      </c>
      <c r="H12">
        <v>2</v>
      </c>
      <c r="I12">
        <v>1</v>
      </c>
      <c r="J12" t="s">
        <v>1476</v>
      </c>
      <c r="K12" t="s">
        <v>1477</v>
      </c>
      <c r="L12">
        <v>4</v>
      </c>
      <c r="M12" t="s">
        <v>12</v>
      </c>
      <c r="N12">
        <v>0</v>
      </c>
      <c r="O12" t="s">
        <v>13</v>
      </c>
      <c r="P12">
        <v>5</v>
      </c>
      <c r="Q12" s="4">
        <v>45744</v>
      </c>
      <c r="R12" s="6" t="s">
        <v>1519</v>
      </c>
      <c r="S12" t="str">
        <f>TEXT(Table1[[#This Row],[Hiring Date]],"mmmm")</f>
        <v>March</v>
      </c>
      <c r="T12">
        <f>COUNTIF(S:S,Table1[[#This Row],[Months List]])</f>
        <v>124</v>
      </c>
      <c r="U12" t="str">
        <f>TEXT(Table1[[#This Row],[Hiring Date]],"dddd")</f>
        <v>Friday</v>
      </c>
      <c r="V12" s="1" t="str">
        <f>TEXT(Table1[[#This Row],[Hiring Date]],"yyyy")</f>
        <v>2025</v>
      </c>
    </row>
    <row r="13" spans="1:22">
      <c r="A13" t="s">
        <v>108</v>
      </c>
      <c r="B13">
        <v>40</v>
      </c>
      <c r="C13">
        <v>530</v>
      </c>
      <c r="D13" t="s">
        <v>14</v>
      </c>
      <c r="E13" t="s">
        <v>1497</v>
      </c>
      <c r="F13" t="s">
        <v>1496</v>
      </c>
      <c r="G13">
        <v>78</v>
      </c>
      <c r="H13">
        <v>2</v>
      </c>
      <c r="I13">
        <v>4</v>
      </c>
      <c r="J13" t="s">
        <v>1478</v>
      </c>
      <c r="K13" t="s">
        <v>1479</v>
      </c>
      <c r="L13">
        <v>2</v>
      </c>
      <c r="M13" t="s">
        <v>15</v>
      </c>
      <c r="N13">
        <v>1</v>
      </c>
      <c r="O13" t="s">
        <v>13</v>
      </c>
      <c r="P13">
        <v>22</v>
      </c>
      <c r="Q13" s="4">
        <v>45765</v>
      </c>
      <c r="R13" s="6" t="s">
        <v>1520</v>
      </c>
      <c r="S13" t="str">
        <f>TEXT(Table1[[#This Row],[Hiring Date]],"mmmm")</f>
        <v>April</v>
      </c>
      <c r="T13">
        <f>COUNTIF(S:S,Table1[[#This Row],[Months List]])</f>
        <v>113</v>
      </c>
      <c r="U13" t="str">
        <f>TEXT(Table1[[#This Row],[Hiring Date]],"dddd")</f>
        <v>Friday</v>
      </c>
      <c r="V13" s="1" t="str">
        <f>TEXT(Table1[[#This Row],[Hiring Date]],"yyyy")</f>
        <v>2025</v>
      </c>
    </row>
    <row r="14" spans="1:22">
      <c r="A14" t="s">
        <v>1017</v>
      </c>
      <c r="B14">
        <v>42</v>
      </c>
      <c r="C14">
        <v>1147</v>
      </c>
      <c r="D14" t="s">
        <v>17</v>
      </c>
      <c r="E14" t="s">
        <v>17</v>
      </c>
      <c r="F14" t="s">
        <v>1499</v>
      </c>
      <c r="G14">
        <v>31</v>
      </c>
      <c r="H14">
        <v>3</v>
      </c>
      <c r="I14">
        <v>4</v>
      </c>
      <c r="J14" t="s">
        <v>1482</v>
      </c>
      <c r="K14" t="s">
        <v>1483</v>
      </c>
      <c r="L14">
        <v>1</v>
      </c>
      <c r="M14" t="s">
        <v>15</v>
      </c>
      <c r="N14">
        <v>0</v>
      </c>
      <c r="O14" t="s">
        <v>13</v>
      </c>
      <c r="P14">
        <v>21</v>
      </c>
      <c r="Q14" s="4">
        <v>45842</v>
      </c>
      <c r="R14" s="4"/>
      <c r="S14" t="str">
        <f>TEXT(Table1[[#This Row],[Hiring Date]],"mmmm")</f>
        <v>July</v>
      </c>
      <c r="T14" s="1"/>
      <c r="U14" t="str">
        <f>TEXT(Table1[[#This Row],[Hiring Date]],"dddd")</f>
        <v>Friday</v>
      </c>
      <c r="V14" s="1" t="str">
        <f>TEXT(Table1[[#This Row],[Hiring Date]],"yyyy")</f>
        <v>2025</v>
      </c>
    </row>
    <row r="15" spans="1:22">
      <c r="A15" t="s">
        <v>1018</v>
      </c>
      <c r="B15">
        <v>52</v>
      </c>
      <c r="C15">
        <v>258</v>
      </c>
      <c r="D15" t="s">
        <v>14</v>
      </c>
      <c r="E15" t="s">
        <v>1500</v>
      </c>
      <c r="F15" t="s">
        <v>1499</v>
      </c>
      <c r="G15">
        <v>54</v>
      </c>
      <c r="H15">
        <v>3</v>
      </c>
      <c r="I15">
        <v>1</v>
      </c>
      <c r="J15" t="s">
        <v>1484</v>
      </c>
      <c r="K15" t="s">
        <v>1485</v>
      </c>
      <c r="L15">
        <v>1</v>
      </c>
      <c r="M15" t="s">
        <v>15</v>
      </c>
      <c r="N15">
        <v>9</v>
      </c>
      <c r="O15" t="s">
        <v>13</v>
      </c>
      <c r="P15">
        <v>12</v>
      </c>
      <c r="Q15" s="4">
        <v>45978</v>
      </c>
      <c r="R15" s="4"/>
      <c r="S15" t="str">
        <f>TEXT(Table1[[#This Row],[Hiring Date]],"mmmm")</f>
        <v>November</v>
      </c>
      <c r="T15" s="1">
        <f>COUNTIF(S:S,Table1[[#This Row],[Months List]])</f>
        <v>0</v>
      </c>
      <c r="U15" t="str">
        <f>TEXT(Table1[[#This Row],[Hiring Date]],"dddd")</f>
        <v>Monday</v>
      </c>
      <c r="V15" s="1" t="str">
        <f>TEXT(Table1[[#This Row],[Hiring Date]],"yyyy")</f>
        <v>2025</v>
      </c>
    </row>
    <row r="16" spans="1:22">
      <c r="A16" t="s">
        <v>1019</v>
      </c>
      <c r="B16">
        <v>37</v>
      </c>
      <c r="C16">
        <v>1462</v>
      </c>
      <c r="D16" t="s">
        <v>14</v>
      </c>
      <c r="E16" t="s">
        <v>1495</v>
      </c>
      <c r="F16" t="s">
        <v>1499</v>
      </c>
      <c r="G16">
        <v>94</v>
      </c>
      <c r="H16">
        <v>3</v>
      </c>
      <c r="I16">
        <v>1</v>
      </c>
      <c r="J16" t="s">
        <v>1484</v>
      </c>
      <c r="K16" t="s">
        <v>1485</v>
      </c>
      <c r="L16">
        <v>3</v>
      </c>
      <c r="M16" t="s">
        <v>12</v>
      </c>
      <c r="N16">
        <v>4</v>
      </c>
      <c r="O16" t="s">
        <v>13</v>
      </c>
      <c r="P16">
        <v>8</v>
      </c>
      <c r="Q16" s="4">
        <v>45802</v>
      </c>
      <c r="R16" s="4"/>
      <c r="S16" t="str">
        <f>TEXT(Table1[[#This Row],[Hiring Date]],"mmmm")</f>
        <v>May</v>
      </c>
      <c r="T16" s="1">
        <f>COUNTIF(S:S,Table1[[#This Row],[Months List]])</f>
        <v>0</v>
      </c>
      <c r="U16" t="str">
        <f>TEXT(Table1[[#This Row],[Hiring Date]],"dddd")</f>
        <v>Sunday</v>
      </c>
      <c r="V16" s="1" t="str">
        <f>TEXT(Table1[[#This Row],[Hiring Date]],"yyyy")</f>
        <v>2025</v>
      </c>
    </row>
    <row r="17" spans="1:22">
      <c r="A17" t="s">
        <v>1020</v>
      </c>
      <c r="B17">
        <v>35</v>
      </c>
      <c r="C17">
        <v>200</v>
      </c>
      <c r="D17" t="s">
        <v>14</v>
      </c>
      <c r="E17" t="s">
        <v>1497</v>
      </c>
      <c r="F17" t="s">
        <v>1496</v>
      </c>
      <c r="G17">
        <v>60</v>
      </c>
      <c r="H17">
        <v>3</v>
      </c>
      <c r="I17">
        <v>3</v>
      </c>
      <c r="J17" t="s">
        <v>1480</v>
      </c>
      <c r="K17" t="s">
        <v>1481</v>
      </c>
      <c r="L17">
        <v>4</v>
      </c>
      <c r="M17" t="s">
        <v>12</v>
      </c>
      <c r="N17">
        <v>2</v>
      </c>
      <c r="O17" t="s">
        <v>13</v>
      </c>
      <c r="P17">
        <v>10</v>
      </c>
      <c r="Q17" s="4">
        <v>45732</v>
      </c>
      <c r="R17" s="4"/>
      <c r="S17" t="str">
        <f>TEXT(Table1[[#This Row],[Hiring Date]],"mmmm")</f>
        <v>March</v>
      </c>
      <c r="T17" s="1">
        <f>COUNTIF(S:S,Table1[[#This Row],[Months List]])</f>
        <v>0</v>
      </c>
      <c r="U17" t="str">
        <f>TEXT(Table1[[#This Row],[Hiring Date]],"dddd")</f>
        <v>Sunday</v>
      </c>
      <c r="V17" s="1" t="str">
        <f>TEXT(Table1[[#This Row],[Hiring Date]],"yyyy")</f>
        <v>2025</v>
      </c>
    </row>
    <row r="18" spans="1:22">
      <c r="A18" t="s">
        <v>1021</v>
      </c>
      <c r="B18">
        <v>25</v>
      </c>
      <c r="C18">
        <v>949</v>
      </c>
      <c r="D18" t="s">
        <v>14</v>
      </c>
      <c r="E18" t="s">
        <v>1501</v>
      </c>
      <c r="F18" t="s">
        <v>1496</v>
      </c>
      <c r="G18">
        <v>81</v>
      </c>
      <c r="H18">
        <v>3</v>
      </c>
      <c r="I18">
        <v>1</v>
      </c>
      <c r="J18" t="s">
        <v>1484</v>
      </c>
      <c r="K18" t="s">
        <v>1485</v>
      </c>
      <c r="L18">
        <v>4</v>
      </c>
      <c r="M18" t="s">
        <v>15</v>
      </c>
      <c r="N18">
        <v>4</v>
      </c>
      <c r="O18" t="s">
        <v>13</v>
      </c>
      <c r="P18">
        <v>7</v>
      </c>
      <c r="Q18" s="4">
        <v>45742</v>
      </c>
      <c r="R18" s="4"/>
      <c r="S18" t="str">
        <f>TEXT(Table1[[#This Row],[Hiring Date]],"mmmm")</f>
        <v>March</v>
      </c>
      <c r="T18" s="1">
        <f>COUNTIF(S:S,Table1[[#This Row],[Months List]])</f>
        <v>0</v>
      </c>
      <c r="U18" t="str">
        <f>TEXT(Table1[[#This Row],[Hiring Date]],"dddd")</f>
        <v>Wednesday</v>
      </c>
      <c r="V18" s="1" t="str">
        <f>TEXT(Table1[[#This Row],[Hiring Date]],"yyyy")</f>
        <v>2025</v>
      </c>
    </row>
    <row r="19" spans="1:22">
      <c r="A19" t="s">
        <v>1022</v>
      </c>
      <c r="B19">
        <v>26</v>
      </c>
      <c r="C19">
        <v>652</v>
      </c>
      <c r="D19" t="s">
        <v>14</v>
      </c>
      <c r="E19" t="s">
        <v>1500</v>
      </c>
      <c r="F19" t="s">
        <v>1496</v>
      </c>
      <c r="G19">
        <v>100</v>
      </c>
      <c r="H19">
        <v>4</v>
      </c>
      <c r="I19">
        <v>1</v>
      </c>
      <c r="J19" t="s">
        <v>1484</v>
      </c>
      <c r="K19" t="s">
        <v>1485</v>
      </c>
      <c r="L19">
        <v>1</v>
      </c>
      <c r="M19" t="s">
        <v>12</v>
      </c>
      <c r="N19">
        <v>0</v>
      </c>
      <c r="O19" t="s">
        <v>13</v>
      </c>
      <c r="P19">
        <v>8</v>
      </c>
      <c r="Q19" s="4">
        <v>45969</v>
      </c>
      <c r="R19" s="4"/>
      <c r="S19" t="str">
        <f>TEXT(Table1[[#This Row],[Hiring Date]],"mmmm")</f>
        <v>November</v>
      </c>
      <c r="T19" s="1">
        <f>COUNTIF(S:S,Table1[[#This Row],[Months List]])</f>
        <v>0</v>
      </c>
      <c r="U19" t="str">
        <f>TEXT(Table1[[#This Row],[Hiring Date]],"dddd")</f>
        <v>Saturday</v>
      </c>
      <c r="V19" s="1" t="str">
        <f>TEXT(Table1[[#This Row],[Hiring Date]],"yyyy")</f>
        <v>2025</v>
      </c>
    </row>
    <row r="20" spans="1:22">
      <c r="A20" t="s">
        <v>1023</v>
      </c>
      <c r="B20">
        <v>29</v>
      </c>
      <c r="C20">
        <v>332</v>
      </c>
      <c r="D20" t="s">
        <v>17</v>
      </c>
      <c r="E20" t="s">
        <v>1500</v>
      </c>
      <c r="F20" t="s">
        <v>1496</v>
      </c>
      <c r="G20">
        <v>51</v>
      </c>
      <c r="H20">
        <v>2</v>
      </c>
      <c r="I20">
        <v>3</v>
      </c>
      <c r="J20" t="s">
        <v>1486</v>
      </c>
      <c r="K20" t="s">
        <v>17</v>
      </c>
      <c r="L20">
        <v>1</v>
      </c>
      <c r="M20" t="s">
        <v>12</v>
      </c>
      <c r="N20">
        <v>1</v>
      </c>
      <c r="O20" t="s">
        <v>13</v>
      </c>
      <c r="P20">
        <v>10</v>
      </c>
      <c r="Q20" s="4">
        <v>45722</v>
      </c>
      <c r="R20" s="4"/>
      <c r="S20" t="str">
        <f>TEXT(Table1[[#This Row],[Hiring Date]],"mmmm")</f>
        <v>March</v>
      </c>
      <c r="T20" s="1">
        <f>COUNTIF(S:S,Table1[[#This Row],[Months List]])</f>
        <v>0</v>
      </c>
      <c r="U20" t="str">
        <f>TEXT(Table1[[#This Row],[Hiring Date]],"dddd")</f>
        <v>Thursday</v>
      </c>
      <c r="V20" s="1" t="str">
        <f>TEXT(Table1[[#This Row],[Hiring Date]],"yyyy")</f>
        <v>2025</v>
      </c>
    </row>
    <row r="21" spans="1:22">
      <c r="A21" t="s">
        <v>1024</v>
      </c>
      <c r="B21">
        <v>49</v>
      </c>
      <c r="C21">
        <v>1475</v>
      </c>
      <c r="D21" t="s">
        <v>14</v>
      </c>
      <c r="E21" t="s">
        <v>1497</v>
      </c>
      <c r="F21" t="s">
        <v>1496</v>
      </c>
      <c r="G21">
        <v>97</v>
      </c>
      <c r="H21">
        <v>2</v>
      </c>
      <c r="I21">
        <v>2</v>
      </c>
      <c r="J21" t="s">
        <v>1484</v>
      </c>
      <c r="K21" t="s">
        <v>1485</v>
      </c>
      <c r="L21">
        <v>1</v>
      </c>
      <c r="M21" t="s">
        <v>12</v>
      </c>
      <c r="N21">
        <v>3</v>
      </c>
      <c r="O21" t="s">
        <v>13</v>
      </c>
      <c r="P21">
        <v>20</v>
      </c>
      <c r="Q21" s="4">
        <v>45861</v>
      </c>
      <c r="R21" s="4"/>
      <c r="S21" t="str">
        <f>TEXT(Table1[[#This Row],[Hiring Date]],"mmmm")</f>
        <v>July</v>
      </c>
      <c r="T21" s="1">
        <f>COUNTIF(S:S,Table1[[#This Row],[Months List]])</f>
        <v>0</v>
      </c>
      <c r="U21" t="str">
        <f>TEXT(Table1[[#This Row],[Hiring Date]],"dddd")</f>
        <v>Wednesday</v>
      </c>
      <c r="V21" s="1" t="str">
        <f>TEXT(Table1[[#This Row],[Hiring Date]],"yyyy")</f>
        <v>2025</v>
      </c>
    </row>
    <row r="22" spans="1:22">
      <c r="A22" t="s">
        <v>1025</v>
      </c>
      <c r="B22">
        <v>29</v>
      </c>
      <c r="C22">
        <v>337</v>
      </c>
      <c r="D22" t="s">
        <v>14</v>
      </c>
      <c r="E22" t="s">
        <v>1500</v>
      </c>
      <c r="F22" t="s">
        <v>1499</v>
      </c>
      <c r="G22">
        <v>84</v>
      </c>
      <c r="H22">
        <v>3</v>
      </c>
      <c r="I22">
        <v>3</v>
      </c>
      <c r="J22" t="s">
        <v>1478</v>
      </c>
      <c r="K22" t="s">
        <v>1479</v>
      </c>
      <c r="L22">
        <v>4</v>
      </c>
      <c r="M22" t="s">
        <v>12</v>
      </c>
      <c r="N22">
        <v>0</v>
      </c>
      <c r="O22" t="s">
        <v>10</v>
      </c>
      <c r="P22">
        <v>9</v>
      </c>
      <c r="Q22" s="4">
        <v>45735</v>
      </c>
      <c r="R22" s="4"/>
      <c r="S22" t="str">
        <f>TEXT(Table1[[#This Row],[Hiring Date]],"mmmm")</f>
        <v>March</v>
      </c>
      <c r="T22" s="1">
        <f>COUNTIF(S:S,Table1[[#This Row],[Months List]])</f>
        <v>0</v>
      </c>
      <c r="U22" t="str">
        <f>TEXT(Table1[[#This Row],[Hiring Date]],"dddd")</f>
        <v>Wednesday</v>
      </c>
      <c r="V22" s="1" t="str">
        <f>TEXT(Table1[[#This Row],[Hiring Date]],"yyyy")</f>
        <v>2025</v>
      </c>
    </row>
    <row r="23" spans="1:22">
      <c r="A23" t="s">
        <v>1026</v>
      </c>
      <c r="B23">
        <v>54</v>
      </c>
      <c r="C23">
        <v>971</v>
      </c>
      <c r="D23" t="s">
        <v>14</v>
      </c>
      <c r="E23" t="s">
        <v>1495</v>
      </c>
      <c r="F23" t="s">
        <v>1499</v>
      </c>
      <c r="G23">
        <v>54</v>
      </c>
      <c r="H23">
        <v>3</v>
      </c>
      <c r="I23">
        <v>4</v>
      </c>
      <c r="J23" t="s">
        <v>1487</v>
      </c>
      <c r="K23" t="s">
        <v>1488</v>
      </c>
      <c r="L23">
        <v>4</v>
      </c>
      <c r="M23" t="s">
        <v>12</v>
      </c>
      <c r="N23">
        <v>6</v>
      </c>
      <c r="O23" t="s">
        <v>13</v>
      </c>
      <c r="P23">
        <v>29</v>
      </c>
      <c r="Q23" s="4">
        <v>45939</v>
      </c>
      <c r="R23" s="4"/>
      <c r="S23" t="str">
        <f>TEXT(Table1[[#This Row],[Hiring Date]],"mmmm")</f>
        <v>October</v>
      </c>
      <c r="T23" s="1">
        <f>COUNTIF(S:S,Table1[[#This Row],[Months List]])</f>
        <v>0</v>
      </c>
      <c r="U23" t="str">
        <f>TEXT(Table1[[#This Row],[Hiring Date]],"dddd")</f>
        <v>Thursday</v>
      </c>
      <c r="V23" s="1" t="str">
        <f>TEXT(Table1[[#This Row],[Hiring Date]],"yyyy")</f>
        <v>2025</v>
      </c>
    </row>
    <row r="24" spans="1:22">
      <c r="A24" t="s">
        <v>109</v>
      </c>
      <c r="B24">
        <v>51</v>
      </c>
      <c r="C24">
        <v>632</v>
      </c>
      <c r="D24" t="s">
        <v>11</v>
      </c>
      <c r="E24" t="s">
        <v>1498</v>
      </c>
      <c r="F24" t="s">
        <v>1496</v>
      </c>
      <c r="G24">
        <v>71</v>
      </c>
      <c r="H24">
        <v>3</v>
      </c>
      <c r="I24">
        <v>2</v>
      </c>
      <c r="J24" t="s">
        <v>1474</v>
      </c>
      <c r="K24" t="s">
        <v>1475</v>
      </c>
      <c r="L24">
        <v>4</v>
      </c>
      <c r="M24" t="s">
        <v>12</v>
      </c>
      <c r="N24">
        <v>0</v>
      </c>
      <c r="O24" t="s">
        <v>10</v>
      </c>
      <c r="P24">
        <v>11</v>
      </c>
      <c r="Q24" s="4">
        <v>45899</v>
      </c>
      <c r="R24" s="4"/>
      <c r="S24" t="str">
        <f>TEXT(Table1[[#This Row],[Hiring Date]],"mmmm")</f>
        <v>August</v>
      </c>
      <c r="T24" s="1">
        <f>COUNTIF(S:S,Table1[[#This Row],[Months List]])</f>
        <v>0</v>
      </c>
      <c r="U24" t="str">
        <f>TEXT(Table1[[#This Row],[Hiring Date]],"dddd")</f>
        <v>Saturday</v>
      </c>
      <c r="V24" s="1" t="str">
        <f>TEXT(Table1[[#This Row],[Hiring Date]],"yyyy")</f>
        <v>2025</v>
      </c>
    </row>
    <row r="25" spans="1:22">
      <c r="A25" t="s">
        <v>1027</v>
      </c>
      <c r="B25">
        <v>58</v>
      </c>
      <c r="C25">
        <v>1055</v>
      </c>
      <c r="D25" t="s">
        <v>14</v>
      </c>
      <c r="E25" t="s">
        <v>1495</v>
      </c>
      <c r="F25" t="s">
        <v>1499</v>
      </c>
      <c r="G25">
        <v>76</v>
      </c>
      <c r="H25">
        <v>3</v>
      </c>
      <c r="I25">
        <v>5</v>
      </c>
      <c r="J25" t="s">
        <v>1487</v>
      </c>
      <c r="K25" t="s">
        <v>1488</v>
      </c>
      <c r="L25">
        <v>1</v>
      </c>
      <c r="M25" t="s">
        <v>15</v>
      </c>
      <c r="N25">
        <v>3</v>
      </c>
      <c r="O25" t="s">
        <v>10</v>
      </c>
      <c r="P25">
        <v>32</v>
      </c>
      <c r="Q25" s="4">
        <v>45993</v>
      </c>
      <c r="R25" s="4"/>
      <c r="S25" t="str">
        <f>TEXT(Table1[[#This Row],[Hiring Date]],"mmmm")</f>
        <v>December</v>
      </c>
      <c r="T25" s="1">
        <f>COUNTIF(S:S,Table1[[#This Row],[Months List]])</f>
        <v>0</v>
      </c>
      <c r="U25" t="str">
        <f>TEXT(Table1[[#This Row],[Hiring Date]],"dddd")</f>
        <v>Tuesday</v>
      </c>
      <c r="V25" s="1" t="str">
        <f>TEXT(Table1[[#This Row],[Hiring Date]],"yyyy")</f>
        <v>2025</v>
      </c>
    </row>
    <row r="26" spans="1:22">
      <c r="A26" t="s">
        <v>1028</v>
      </c>
      <c r="B26">
        <v>55</v>
      </c>
      <c r="C26">
        <v>1136</v>
      </c>
      <c r="D26" t="s">
        <v>14</v>
      </c>
      <c r="E26" t="s">
        <v>1495</v>
      </c>
      <c r="F26" t="s">
        <v>1496</v>
      </c>
      <c r="G26">
        <v>81</v>
      </c>
      <c r="H26">
        <v>4</v>
      </c>
      <c r="I26">
        <v>4</v>
      </c>
      <c r="J26" t="s">
        <v>1487</v>
      </c>
      <c r="K26" t="s">
        <v>1488</v>
      </c>
      <c r="L26">
        <v>4</v>
      </c>
      <c r="M26" t="s">
        <v>16</v>
      </c>
      <c r="N26">
        <v>2</v>
      </c>
      <c r="O26" t="s">
        <v>13</v>
      </c>
      <c r="P26">
        <v>31</v>
      </c>
      <c r="Q26" s="4">
        <v>45806</v>
      </c>
      <c r="R26" s="4"/>
      <c r="S26" t="str">
        <f>TEXT(Table1[[#This Row],[Hiring Date]],"mmmm")</f>
        <v>May</v>
      </c>
      <c r="T26" s="1">
        <f>COUNTIF(S:S,Table1[[#This Row],[Months List]])</f>
        <v>0</v>
      </c>
      <c r="U26" t="str">
        <f>TEXT(Table1[[#This Row],[Hiring Date]],"dddd")</f>
        <v>Thursday</v>
      </c>
      <c r="V26" s="1" t="str">
        <f>TEXT(Table1[[#This Row],[Hiring Date]],"yyyy")</f>
        <v>2025</v>
      </c>
    </row>
    <row r="27" spans="1:22">
      <c r="A27" t="s">
        <v>1029</v>
      </c>
      <c r="B27">
        <v>36</v>
      </c>
      <c r="C27">
        <v>1174</v>
      </c>
      <c r="D27" t="s">
        <v>11</v>
      </c>
      <c r="E27" t="s">
        <v>1498</v>
      </c>
      <c r="F27" t="s">
        <v>1499</v>
      </c>
      <c r="G27">
        <v>99</v>
      </c>
      <c r="H27">
        <v>3</v>
      </c>
      <c r="I27">
        <v>2</v>
      </c>
      <c r="J27" t="s">
        <v>1474</v>
      </c>
      <c r="K27" t="s">
        <v>1475</v>
      </c>
      <c r="L27">
        <v>2</v>
      </c>
      <c r="M27" t="s">
        <v>12</v>
      </c>
      <c r="N27">
        <v>3</v>
      </c>
      <c r="O27" t="s">
        <v>10</v>
      </c>
      <c r="P27">
        <v>15</v>
      </c>
      <c r="Q27" s="4">
        <v>45791</v>
      </c>
      <c r="R27" s="4"/>
      <c r="S27" t="str">
        <f>TEXT(Table1[[#This Row],[Hiring Date]],"mmmm")</f>
        <v>May</v>
      </c>
      <c r="T27" s="1">
        <f>COUNTIF(S:S,Table1[[#This Row],[Months List]])</f>
        <v>0</v>
      </c>
      <c r="U27" t="str">
        <f>TEXT(Table1[[#This Row],[Hiring Date]],"dddd")</f>
        <v>Wednesday</v>
      </c>
      <c r="V27" s="1" t="str">
        <f>TEXT(Table1[[#This Row],[Hiring Date]],"yyyy")</f>
        <v>2025</v>
      </c>
    </row>
    <row r="28" spans="1:22">
      <c r="A28" t="s">
        <v>1030</v>
      </c>
      <c r="B28">
        <v>31</v>
      </c>
      <c r="C28">
        <v>667</v>
      </c>
      <c r="D28" t="s">
        <v>11</v>
      </c>
      <c r="E28" t="s">
        <v>1497</v>
      </c>
      <c r="F28" t="s">
        <v>1499</v>
      </c>
      <c r="G28">
        <v>50</v>
      </c>
      <c r="H28">
        <v>1</v>
      </c>
      <c r="I28">
        <v>1</v>
      </c>
      <c r="J28" t="s">
        <v>1489</v>
      </c>
      <c r="K28" t="s">
        <v>1490</v>
      </c>
      <c r="L28">
        <v>3</v>
      </c>
      <c r="M28" t="s">
        <v>12</v>
      </c>
      <c r="N28">
        <v>1</v>
      </c>
      <c r="O28" t="s">
        <v>13</v>
      </c>
      <c r="P28">
        <v>1</v>
      </c>
      <c r="Q28" s="4">
        <v>45834</v>
      </c>
      <c r="R28" s="4"/>
      <c r="S28" t="str">
        <f>TEXT(Table1[[#This Row],[Hiring Date]],"mmmm")</f>
        <v>June</v>
      </c>
      <c r="T28" s="1">
        <f>COUNTIF(S:S,Table1[[#This Row],[Months List]])</f>
        <v>0</v>
      </c>
      <c r="U28" t="str">
        <f>TEXT(Table1[[#This Row],[Hiring Date]],"dddd")</f>
        <v>Thursday</v>
      </c>
      <c r="V28" s="1" t="str">
        <f>TEXT(Table1[[#This Row],[Hiring Date]],"yyyy")</f>
        <v>2025</v>
      </c>
    </row>
    <row r="29" spans="1:22">
      <c r="A29" t="s">
        <v>1031</v>
      </c>
      <c r="B29">
        <v>30</v>
      </c>
      <c r="C29">
        <v>855</v>
      </c>
      <c r="D29" t="s">
        <v>11</v>
      </c>
      <c r="E29" t="s">
        <v>1498</v>
      </c>
      <c r="F29" t="s">
        <v>1499</v>
      </c>
      <c r="G29">
        <v>73</v>
      </c>
      <c r="H29">
        <v>3</v>
      </c>
      <c r="I29">
        <v>2</v>
      </c>
      <c r="J29" t="s">
        <v>1474</v>
      </c>
      <c r="K29" t="s">
        <v>1475</v>
      </c>
      <c r="L29">
        <v>1</v>
      </c>
      <c r="M29" t="s">
        <v>16</v>
      </c>
      <c r="N29">
        <v>7</v>
      </c>
      <c r="O29" t="s">
        <v>13</v>
      </c>
      <c r="P29">
        <v>8</v>
      </c>
      <c r="Q29" s="4">
        <v>45987</v>
      </c>
      <c r="R29" s="4"/>
      <c r="S29" t="str">
        <f>TEXT(Table1[[#This Row],[Hiring Date]],"mmmm")</f>
        <v>November</v>
      </c>
      <c r="T29" s="1">
        <f>COUNTIF(S:S,Table1[[#This Row],[Months List]])</f>
        <v>0</v>
      </c>
      <c r="U29" t="str">
        <f>TEXT(Table1[[#This Row],[Hiring Date]],"dddd")</f>
        <v>Wednesday</v>
      </c>
      <c r="V29" s="1" t="str">
        <f>TEXT(Table1[[#This Row],[Hiring Date]],"yyyy")</f>
        <v>2025</v>
      </c>
    </row>
    <row r="30" spans="1:22">
      <c r="A30" t="s">
        <v>1032</v>
      </c>
      <c r="B30">
        <v>31</v>
      </c>
      <c r="C30">
        <v>182</v>
      </c>
      <c r="D30" t="s">
        <v>14</v>
      </c>
      <c r="E30" t="s">
        <v>1497</v>
      </c>
      <c r="F30" t="s">
        <v>1499</v>
      </c>
      <c r="G30">
        <v>93</v>
      </c>
      <c r="H30">
        <v>3</v>
      </c>
      <c r="I30">
        <v>4</v>
      </c>
      <c r="J30" t="s">
        <v>1487</v>
      </c>
      <c r="K30" t="s">
        <v>1488</v>
      </c>
      <c r="L30">
        <v>2</v>
      </c>
      <c r="M30" t="s">
        <v>12</v>
      </c>
      <c r="N30">
        <v>3</v>
      </c>
      <c r="O30" t="s">
        <v>13</v>
      </c>
      <c r="P30">
        <v>9</v>
      </c>
      <c r="Q30" s="4">
        <v>45736</v>
      </c>
      <c r="R30" s="4"/>
      <c r="S30" t="str">
        <f>TEXT(Table1[[#This Row],[Hiring Date]],"mmmm")</f>
        <v>March</v>
      </c>
      <c r="T30" s="1">
        <f>COUNTIF(S:S,Table1[[#This Row],[Months List]])</f>
        <v>0</v>
      </c>
      <c r="U30" t="str">
        <f>TEXT(Table1[[#This Row],[Hiring Date]],"dddd")</f>
        <v>Thursday</v>
      </c>
      <c r="V30" s="1" t="str">
        <f>TEXT(Table1[[#This Row],[Hiring Date]],"yyyy")</f>
        <v>2025</v>
      </c>
    </row>
    <row r="31" spans="1:22">
      <c r="A31" t="s">
        <v>1033</v>
      </c>
      <c r="B31">
        <v>34</v>
      </c>
      <c r="C31">
        <v>560</v>
      </c>
      <c r="D31" t="s">
        <v>14</v>
      </c>
      <c r="E31" t="s">
        <v>1500</v>
      </c>
      <c r="F31" t="s">
        <v>1496</v>
      </c>
      <c r="G31">
        <v>91</v>
      </c>
      <c r="H31">
        <v>3</v>
      </c>
      <c r="I31">
        <v>1</v>
      </c>
      <c r="J31" t="s">
        <v>1476</v>
      </c>
      <c r="K31" t="s">
        <v>1477</v>
      </c>
      <c r="L31">
        <v>1</v>
      </c>
      <c r="M31" t="s">
        <v>16</v>
      </c>
      <c r="N31">
        <v>5</v>
      </c>
      <c r="O31" t="s">
        <v>13</v>
      </c>
      <c r="P31">
        <v>10</v>
      </c>
      <c r="Q31" s="4">
        <v>45713</v>
      </c>
      <c r="R31" s="4"/>
      <c r="S31" t="str">
        <f>TEXT(Table1[[#This Row],[Hiring Date]],"mmmm")</f>
        <v>February</v>
      </c>
      <c r="T31" s="1">
        <f>COUNTIF(S:S,Table1[[#This Row],[Months List]])</f>
        <v>0</v>
      </c>
      <c r="U31" t="str">
        <f>TEXT(Table1[[#This Row],[Hiring Date]],"dddd")</f>
        <v>Tuesday</v>
      </c>
      <c r="V31" s="1" t="str">
        <f>TEXT(Table1[[#This Row],[Hiring Date]],"yyyy")</f>
        <v>2025</v>
      </c>
    </row>
    <row r="32" spans="1:22">
      <c r="A32" t="s">
        <v>1034</v>
      </c>
      <c r="B32">
        <v>31</v>
      </c>
      <c r="C32">
        <v>202</v>
      </c>
      <c r="D32" t="s">
        <v>14</v>
      </c>
      <c r="E32" t="s">
        <v>1497</v>
      </c>
      <c r="F32" t="s">
        <v>1499</v>
      </c>
      <c r="G32">
        <v>34</v>
      </c>
      <c r="H32">
        <v>2</v>
      </c>
      <c r="I32">
        <v>1</v>
      </c>
      <c r="J32" t="s">
        <v>1476</v>
      </c>
      <c r="K32" t="s">
        <v>1477</v>
      </c>
      <c r="L32">
        <v>2</v>
      </c>
      <c r="M32" t="s">
        <v>12</v>
      </c>
      <c r="N32">
        <v>1</v>
      </c>
      <c r="O32" t="s">
        <v>13</v>
      </c>
      <c r="P32">
        <v>1</v>
      </c>
      <c r="Q32" s="4">
        <v>45763</v>
      </c>
      <c r="R32" s="4"/>
      <c r="S32" t="str">
        <f>TEXT(Table1[[#This Row],[Hiring Date]],"mmmm")</f>
        <v>April</v>
      </c>
      <c r="T32" s="1">
        <f>COUNTIF(S:S,Table1[[#This Row],[Months List]])</f>
        <v>0</v>
      </c>
      <c r="U32" t="str">
        <f>TEXT(Table1[[#This Row],[Hiring Date]],"dddd")</f>
        <v>Wednesday</v>
      </c>
      <c r="V32" s="1" t="str">
        <f>TEXT(Table1[[#This Row],[Hiring Date]],"yyyy")</f>
        <v>2025</v>
      </c>
    </row>
    <row r="33" spans="1:22">
      <c r="A33" t="s">
        <v>1035</v>
      </c>
      <c r="B33">
        <v>27</v>
      </c>
      <c r="C33">
        <v>1377</v>
      </c>
      <c r="D33" t="s">
        <v>14</v>
      </c>
      <c r="E33" t="s">
        <v>1497</v>
      </c>
      <c r="F33" t="s">
        <v>1496</v>
      </c>
      <c r="G33">
        <v>91</v>
      </c>
      <c r="H33">
        <v>3</v>
      </c>
      <c r="I33">
        <v>1</v>
      </c>
      <c r="J33" t="s">
        <v>1484</v>
      </c>
      <c r="K33" t="s">
        <v>1485</v>
      </c>
      <c r="L33">
        <v>1</v>
      </c>
      <c r="M33" t="s">
        <v>15</v>
      </c>
      <c r="N33">
        <v>0</v>
      </c>
      <c r="O33" t="s">
        <v>13</v>
      </c>
      <c r="P33">
        <v>6</v>
      </c>
      <c r="Q33" s="4">
        <v>45821</v>
      </c>
      <c r="R33" s="4"/>
      <c r="S33" t="str">
        <f>TEXT(Table1[[#This Row],[Hiring Date]],"mmmm")</f>
        <v>June</v>
      </c>
      <c r="T33" s="1">
        <f>COUNTIF(S:S,Table1[[#This Row],[Months List]])</f>
        <v>0</v>
      </c>
      <c r="U33" t="str">
        <f>TEXT(Table1[[#This Row],[Hiring Date]],"dddd")</f>
        <v>Friday</v>
      </c>
      <c r="V33" s="1" t="str">
        <f>TEXT(Table1[[#This Row],[Hiring Date]],"yyyy")</f>
        <v>2025</v>
      </c>
    </row>
    <row r="34" spans="1:22">
      <c r="A34" t="s">
        <v>1036</v>
      </c>
      <c r="B34">
        <v>36</v>
      </c>
      <c r="C34">
        <v>172</v>
      </c>
      <c r="D34" t="s">
        <v>14</v>
      </c>
      <c r="E34" t="s">
        <v>1497</v>
      </c>
      <c r="F34" t="s">
        <v>1496</v>
      </c>
      <c r="G34">
        <v>37</v>
      </c>
      <c r="H34">
        <v>2</v>
      </c>
      <c r="I34">
        <v>2</v>
      </c>
      <c r="J34" t="s">
        <v>1484</v>
      </c>
      <c r="K34" t="s">
        <v>1485</v>
      </c>
      <c r="L34">
        <v>4</v>
      </c>
      <c r="M34" t="s">
        <v>12</v>
      </c>
      <c r="N34">
        <v>1</v>
      </c>
      <c r="O34" t="s">
        <v>13</v>
      </c>
      <c r="P34">
        <v>10</v>
      </c>
      <c r="Q34" s="4">
        <v>45874</v>
      </c>
      <c r="R34" s="4"/>
      <c r="S34" t="str">
        <f>TEXT(Table1[[#This Row],[Hiring Date]],"mmmm")</f>
        <v>August</v>
      </c>
      <c r="T34" s="1">
        <f>COUNTIF(S:S,Table1[[#This Row],[Months List]])</f>
        <v>0</v>
      </c>
      <c r="U34" t="str">
        <f>TEXT(Table1[[#This Row],[Hiring Date]],"dddd")</f>
        <v>Tuesday</v>
      </c>
      <c r="V34" s="1" t="str">
        <f>TEXT(Table1[[#This Row],[Hiring Date]],"yyyy")</f>
        <v>2025</v>
      </c>
    </row>
    <row r="35" spans="1:22">
      <c r="A35" t="s">
        <v>110</v>
      </c>
      <c r="B35">
        <v>30</v>
      </c>
      <c r="C35">
        <v>1334</v>
      </c>
      <c r="D35" t="s">
        <v>11</v>
      </c>
      <c r="E35" t="s">
        <v>1495</v>
      </c>
      <c r="F35" t="s">
        <v>1499</v>
      </c>
      <c r="G35">
        <v>63</v>
      </c>
      <c r="H35">
        <v>2</v>
      </c>
      <c r="I35">
        <v>2</v>
      </c>
      <c r="J35" t="s">
        <v>1474</v>
      </c>
      <c r="K35" t="s">
        <v>1475</v>
      </c>
      <c r="L35">
        <v>2</v>
      </c>
      <c r="M35" t="s">
        <v>16</v>
      </c>
      <c r="N35">
        <v>1</v>
      </c>
      <c r="O35" t="s">
        <v>10</v>
      </c>
      <c r="P35">
        <v>11</v>
      </c>
      <c r="Q35" s="4">
        <v>45702</v>
      </c>
      <c r="R35" s="4"/>
      <c r="S35" t="str">
        <f>TEXT(Table1[[#This Row],[Hiring Date]],"mmmm")</f>
        <v>February</v>
      </c>
      <c r="T35" s="1">
        <f>COUNTIF(S:S,Table1[[#This Row],[Months List]])</f>
        <v>0</v>
      </c>
      <c r="U35" t="str">
        <f>TEXT(Table1[[#This Row],[Hiring Date]],"dddd")</f>
        <v>Friday</v>
      </c>
      <c r="V35" s="1" t="str">
        <f>TEXT(Table1[[#This Row],[Hiring Date]],"yyyy")</f>
        <v>2025</v>
      </c>
    </row>
    <row r="36" spans="1:22">
      <c r="A36" t="s">
        <v>1037</v>
      </c>
      <c r="B36">
        <v>36</v>
      </c>
      <c r="C36">
        <v>329</v>
      </c>
      <c r="D36" t="s">
        <v>11</v>
      </c>
      <c r="E36" t="s">
        <v>1498</v>
      </c>
      <c r="F36" t="s">
        <v>1499</v>
      </c>
      <c r="G36">
        <v>98</v>
      </c>
      <c r="H36">
        <v>2</v>
      </c>
      <c r="I36">
        <v>2</v>
      </c>
      <c r="J36" t="s">
        <v>1474</v>
      </c>
      <c r="K36" t="s">
        <v>1475</v>
      </c>
      <c r="L36">
        <v>1</v>
      </c>
      <c r="M36" t="s">
        <v>15</v>
      </c>
      <c r="N36">
        <v>4</v>
      </c>
      <c r="O36" t="s">
        <v>13</v>
      </c>
      <c r="P36">
        <v>11</v>
      </c>
      <c r="Q36" s="4">
        <v>45841</v>
      </c>
      <c r="R36" s="4"/>
      <c r="S36" t="str">
        <f>TEXT(Table1[[#This Row],[Hiring Date]],"mmmm")</f>
        <v>July</v>
      </c>
      <c r="T36" s="1">
        <f>COUNTIF(S:S,Table1[[#This Row],[Months List]])</f>
        <v>0</v>
      </c>
      <c r="U36" t="str">
        <f>TEXT(Table1[[#This Row],[Hiring Date]],"dddd")</f>
        <v>Thursday</v>
      </c>
      <c r="V36" s="1" t="str">
        <f>TEXT(Table1[[#This Row],[Hiring Date]],"yyyy")</f>
        <v>2025</v>
      </c>
    </row>
    <row r="37" spans="1:22">
      <c r="A37" t="s">
        <v>1038</v>
      </c>
      <c r="B37">
        <v>47</v>
      </c>
      <c r="C37">
        <v>465</v>
      </c>
      <c r="D37" t="s">
        <v>14</v>
      </c>
      <c r="E37" t="s">
        <v>1501</v>
      </c>
      <c r="F37" t="s">
        <v>1496</v>
      </c>
      <c r="G37">
        <v>74</v>
      </c>
      <c r="H37">
        <v>3</v>
      </c>
      <c r="I37">
        <v>1</v>
      </c>
      <c r="J37" t="s">
        <v>1476</v>
      </c>
      <c r="K37" t="s">
        <v>1477</v>
      </c>
      <c r="L37">
        <v>4</v>
      </c>
      <c r="M37" t="s">
        <v>15</v>
      </c>
      <c r="N37">
        <v>7</v>
      </c>
      <c r="O37" t="s">
        <v>13</v>
      </c>
      <c r="P37">
        <v>17</v>
      </c>
      <c r="Q37" s="4">
        <v>45832</v>
      </c>
      <c r="R37" s="4"/>
      <c r="S37" t="str">
        <f>TEXT(Table1[[#This Row],[Hiring Date]],"mmmm")</f>
        <v>June</v>
      </c>
      <c r="T37" s="1">
        <f>COUNTIF(S:S,Table1[[#This Row],[Months List]])</f>
        <v>0</v>
      </c>
      <c r="U37" t="str">
        <f>TEXT(Table1[[#This Row],[Hiring Date]],"dddd")</f>
        <v>Tuesday</v>
      </c>
      <c r="V37" s="1" t="str">
        <f>TEXT(Table1[[#This Row],[Hiring Date]],"yyyy")</f>
        <v>2025</v>
      </c>
    </row>
    <row r="38" spans="1:22">
      <c r="A38" t="s">
        <v>1039</v>
      </c>
      <c r="B38">
        <v>25</v>
      </c>
      <c r="C38">
        <v>383</v>
      </c>
      <c r="D38" t="s">
        <v>11</v>
      </c>
      <c r="E38" t="s">
        <v>1497</v>
      </c>
      <c r="F38" t="s">
        <v>1496</v>
      </c>
      <c r="G38">
        <v>68</v>
      </c>
      <c r="H38">
        <v>2</v>
      </c>
      <c r="I38">
        <v>1</v>
      </c>
      <c r="J38" t="s">
        <v>1489</v>
      </c>
      <c r="K38" t="s">
        <v>1490</v>
      </c>
      <c r="L38">
        <v>1</v>
      </c>
      <c r="M38" t="s">
        <v>15</v>
      </c>
      <c r="N38">
        <v>3</v>
      </c>
      <c r="O38" t="s">
        <v>13</v>
      </c>
      <c r="P38">
        <v>6</v>
      </c>
      <c r="Q38" s="4">
        <v>45992</v>
      </c>
      <c r="R38" s="4"/>
      <c r="S38" t="str">
        <f>TEXT(Table1[[#This Row],[Hiring Date]],"mmmm")</f>
        <v>December</v>
      </c>
      <c r="T38" s="1">
        <f>COUNTIF(S:S,Table1[[#This Row],[Months List]])</f>
        <v>0</v>
      </c>
      <c r="U38" t="str">
        <f>TEXT(Table1[[#This Row],[Hiring Date]],"dddd")</f>
        <v>Monday</v>
      </c>
      <c r="V38" s="1" t="str">
        <f>TEXT(Table1[[#This Row],[Hiring Date]],"yyyy")</f>
        <v>2025</v>
      </c>
    </row>
    <row r="39" spans="1:22">
      <c r="A39" t="s">
        <v>1040</v>
      </c>
      <c r="B39">
        <v>37</v>
      </c>
      <c r="C39">
        <v>1413</v>
      </c>
      <c r="D39" t="s">
        <v>14</v>
      </c>
      <c r="E39" t="s">
        <v>1501</v>
      </c>
      <c r="F39" t="s">
        <v>1496</v>
      </c>
      <c r="G39">
        <v>84</v>
      </c>
      <c r="H39">
        <v>4</v>
      </c>
      <c r="I39">
        <v>1</v>
      </c>
      <c r="J39" t="s">
        <v>1484</v>
      </c>
      <c r="K39" t="s">
        <v>1485</v>
      </c>
      <c r="L39">
        <v>3</v>
      </c>
      <c r="M39" t="s">
        <v>12</v>
      </c>
      <c r="N39">
        <v>0</v>
      </c>
      <c r="O39" t="s">
        <v>13</v>
      </c>
      <c r="P39">
        <v>7</v>
      </c>
      <c r="Q39" s="4">
        <v>45906</v>
      </c>
      <c r="R39" s="4"/>
      <c r="S39" t="str">
        <f>TEXT(Table1[[#This Row],[Hiring Date]],"mmmm")</f>
        <v>September</v>
      </c>
      <c r="T39" s="1">
        <f>COUNTIF(S:S,Table1[[#This Row],[Months List]])</f>
        <v>0</v>
      </c>
      <c r="U39" t="str">
        <f>TEXT(Table1[[#This Row],[Hiring Date]],"dddd")</f>
        <v>Saturday</v>
      </c>
      <c r="V39" s="1" t="str">
        <f>TEXT(Table1[[#This Row],[Hiring Date]],"yyyy")</f>
        <v>2025</v>
      </c>
    </row>
    <row r="40" spans="1:22">
      <c r="A40" t="s">
        <v>1041</v>
      </c>
      <c r="B40">
        <v>56</v>
      </c>
      <c r="C40">
        <v>1255</v>
      </c>
      <c r="D40" t="s">
        <v>14</v>
      </c>
      <c r="E40" t="s">
        <v>1497</v>
      </c>
      <c r="F40" t="s">
        <v>1499</v>
      </c>
      <c r="G40">
        <v>90</v>
      </c>
      <c r="H40">
        <v>3</v>
      </c>
      <c r="I40">
        <v>1</v>
      </c>
      <c r="J40" t="s">
        <v>1476</v>
      </c>
      <c r="K40" t="s">
        <v>1477</v>
      </c>
      <c r="L40">
        <v>1</v>
      </c>
      <c r="M40" t="s">
        <v>15</v>
      </c>
      <c r="N40">
        <v>2</v>
      </c>
      <c r="O40" t="s">
        <v>13</v>
      </c>
      <c r="P40">
        <v>5</v>
      </c>
      <c r="Q40" s="4">
        <v>45848</v>
      </c>
      <c r="R40" s="4"/>
      <c r="S40" t="str">
        <f>TEXT(Table1[[#This Row],[Hiring Date]],"mmmm")</f>
        <v>July</v>
      </c>
      <c r="T40" s="1">
        <f>COUNTIF(S:S,Table1[[#This Row],[Months List]])</f>
        <v>0</v>
      </c>
      <c r="U40" t="str">
        <f>TEXT(Table1[[#This Row],[Hiring Date]],"dddd")</f>
        <v>Thursday</v>
      </c>
      <c r="V40" s="1" t="str">
        <f>TEXT(Table1[[#This Row],[Hiring Date]],"yyyy")</f>
        <v>2025</v>
      </c>
    </row>
    <row r="41" spans="1:22">
      <c r="A41" t="s">
        <v>1042</v>
      </c>
      <c r="B41">
        <v>47</v>
      </c>
      <c r="C41">
        <v>359</v>
      </c>
      <c r="D41" t="s">
        <v>14</v>
      </c>
      <c r="E41" t="s">
        <v>1495</v>
      </c>
      <c r="F41" t="s">
        <v>1499</v>
      </c>
      <c r="G41">
        <v>82</v>
      </c>
      <c r="H41">
        <v>3</v>
      </c>
      <c r="I41">
        <v>4</v>
      </c>
      <c r="J41" t="s">
        <v>1487</v>
      </c>
      <c r="K41" t="s">
        <v>1488</v>
      </c>
      <c r="L41">
        <v>3</v>
      </c>
      <c r="M41" t="s">
        <v>15</v>
      </c>
      <c r="N41">
        <v>3</v>
      </c>
      <c r="O41" t="s">
        <v>13</v>
      </c>
      <c r="P41">
        <v>26</v>
      </c>
      <c r="Q41" s="4">
        <v>45664</v>
      </c>
      <c r="R41" s="4"/>
      <c r="S41" t="str">
        <f>TEXT(Table1[[#This Row],[Hiring Date]],"mmmm")</f>
        <v>January</v>
      </c>
      <c r="T41" s="1">
        <f>COUNTIF(S:S,Table1[[#This Row],[Months List]])</f>
        <v>0</v>
      </c>
      <c r="U41" t="str">
        <f>TEXT(Table1[[#This Row],[Hiring Date]],"dddd")</f>
        <v>Tuesday</v>
      </c>
      <c r="V41" s="1" t="str">
        <f>TEXT(Table1[[#This Row],[Hiring Date]],"yyyy")</f>
        <v>2025</v>
      </c>
    </row>
    <row r="42" spans="1:22">
      <c r="A42" t="s">
        <v>1043</v>
      </c>
      <c r="B42">
        <v>24</v>
      </c>
      <c r="C42">
        <v>1476</v>
      </c>
      <c r="D42" t="s">
        <v>11</v>
      </c>
      <c r="E42" t="s">
        <v>1495</v>
      </c>
      <c r="F42" t="s">
        <v>1499</v>
      </c>
      <c r="G42">
        <v>42</v>
      </c>
      <c r="H42">
        <v>3</v>
      </c>
      <c r="I42">
        <v>2</v>
      </c>
      <c r="J42" t="s">
        <v>1474</v>
      </c>
      <c r="K42" t="s">
        <v>1475</v>
      </c>
      <c r="L42">
        <v>3</v>
      </c>
      <c r="M42" t="s">
        <v>15</v>
      </c>
      <c r="N42">
        <v>1</v>
      </c>
      <c r="O42" t="s">
        <v>10</v>
      </c>
      <c r="P42">
        <v>5</v>
      </c>
      <c r="Q42" s="4">
        <v>45703</v>
      </c>
      <c r="R42" s="4"/>
      <c r="S42" t="str">
        <f>TEXT(Table1[[#This Row],[Hiring Date]],"mmmm")</f>
        <v>February</v>
      </c>
      <c r="T42" s="1">
        <f>COUNTIF(S:S,Table1[[#This Row],[Months List]])</f>
        <v>0</v>
      </c>
      <c r="U42" t="str">
        <f>TEXT(Table1[[#This Row],[Hiring Date]],"dddd")</f>
        <v>Saturday</v>
      </c>
      <c r="V42" s="1" t="str">
        <f>TEXT(Table1[[#This Row],[Hiring Date]],"yyyy")</f>
        <v>2025</v>
      </c>
    </row>
    <row r="43" spans="1:22">
      <c r="A43" t="s">
        <v>1044</v>
      </c>
      <c r="B43">
        <v>32</v>
      </c>
      <c r="C43">
        <v>601</v>
      </c>
      <c r="D43" t="s">
        <v>11</v>
      </c>
      <c r="E43" t="s">
        <v>1498</v>
      </c>
      <c r="F43" t="s">
        <v>1496</v>
      </c>
      <c r="G43">
        <v>97</v>
      </c>
      <c r="H43">
        <v>3</v>
      </c>
      <c r="I43">
        <v>2</v>
      </c>
      <c r="J43" t="s">
        <v>1474</v>
      </c>
      <c r="K43" t="s">
        <v>1475</v>
      </c>
      <c r="L43">
        <v>4</v>
      </c>
      <c r="M43" t="s">
        <v>15</v>
      </c>
      <c r="N43">
        <v>4</v>
      </c>
      <c r="O43" t="s">
        <v>13</v>
      </c>
      <c r="P43">
        <v>7</v>
      </c>
      <c r="Q43" s="4">
        <v>45911</v>
      </c>
      <c r="R43" s="4"/>
      <c r="S43" t="str">
        <f>TEXT(Table1[[#This Row],[Hiring Date]],"mmmm")</f>
        <v>September</v>
      </c>
      <c r="T43" s="1">
        <f>COUNTIF(S:S,Table1[[#This Row],[Months List]])</f>
        <v>0</v>
      </c>
      <c r="U43" t="str">
        <f>TEXT(Table1[[#This Row],[Hiring Date]],"dddd")</f>
        <v>Thursday</v>
      </c>
      <c r="V43" s="1" t="str">
        <f>TEXT(Table1[[#This Row],[Hiring Date]],"yyyy")</f>
        <v>2025</v>
      </c>
    </row>
    <row r="44" spans="1:22">
      <c r="A44" t="s">
        <v>1045</v>
      </c>
      <c r="B44">
        <v>34</v>
      </c>
      <c r="C44">
        <v>401</v>
      </c>
      <c r="D44" t="s">
        <v>14</v>
      </c>
      <c r="E44" t="s">
        <v>1497</v>
      </c>
      <c r="F44" t="s">
        <v>1499</v>
      </c>
      <c r="G44">
        <v>86</v>
      </c>
      <c r="H44">
        <v>2</v>
      </c>
      <c r="I44">
        <v>1</v>
      </c>
      <c r="J44" t="s">
        <v>1484</v>
      </c>
      <c r="K44" t="s">
        <v>1485</v>
      </c>
      <c r="L44">
        <v>2</v>
      </c>
      <c r="M44" t="s">
        <v>15</v>
      </c>
      <c r="N44">
        <v>5</v>
      </c>
      <c r="O44" t="s">
        <v>13</v>
      </c>
      <c r="P44">
        <v>7</v>
      </c>
      <c r="Q44" s="4">
        <v>45926</v>
      </c>
      <c r="R44" s="4"/>
      <c r="S44" t="str">
        <f>TEXT(Table1[[#This Row],[Hiring Date]],"mmmm")</f>
        <v>September</v>
      </c>
      <c r="T44" s="1">
        <f>COUNTIF(S:S,Table1[[#This Row],[Months List]])</f>
        <v>0</v>
      </c>
      <c r="U44" t="str">
        <f>TEXT(Table1[[#This Row],[Hiring Date]],"dddd")</f>
        <v>Friday</v>
      </c>
      <c r="V44" s="1" t="str">
        <f>TEXT(Table1[[#This Row],[Hiring Date]],"yyyy")</f>
        <v>2025</v>
      </c>
    </row>
    <row r="45" spans="1:22">
      <c r="A45" t="s">
        <v>1046</v>
      </c>
      <c r="B45">
        <v>41</v>
      </c>
      <c r="C45">
        <v>1283</v>
      </c>
      <c r="D45" t="s">
        <v>14</v>
      </c>
      <c r="E45" t="s">
        <v>1495</v>
      </c>
      <c r="F45" t="s">
        <v>1496</v>
      </c>
      <c r="G45">
        <v>90</v>
      </c>
      <c r="H45">
        <v>4</v>
      </c>
      <c r="I45">
        <v>1</v>
      </c>
      <c r="J45" t="s">
        <v>1476</v>
      </c>
      <c r="K45" t="s">
        <v>1477</v>
      </c>
      <c r="L45">
        <v>3</v>
      </c>
      <c r="M45" t="s">
        <v>15</v>
      </c>
      <c r="N45">
        <v>2</v>
      </c>
      <c r="O45" t="s">
        <v>10</v>
      </c>
      <c r="P45">
        <v>7</v>
      </c>
      <c r="Q45" s="4">
        <v>45821</v>
      </c>
      <c r="R45" s="4"/>
      <c r="S45" t="str">
        <f>TEXT(Table1[[#This Row],[Hiring Date]],"mmmm")</f>
        <v>June</v>
      </c>
      <c r="T45" s="1">
        <f>COUNTIF(S:S,Table1[[#This Row],[Months List]])</f>
        <v>0</v>
      </c>
      <c r="U45" t="str">
        <f>TEXT(Table1[[#This Row],[Hiring Date]],"dddd")</f>
        <v>Friday</v>
      </c>
      <c r="V45" s="1" t="str">
        <f>TEXT(Table1[[#This Row],[Hiring Date]],"yyyy")</f>
        <v>2025</v>
      </c>
    </row>
    <row r="46" spans="1:22">
      <c r="A46" t="s">
        <v>111</v>
      </c>
      <c r="B46">
        <v>46</v>
      </c>
      <c r="C46">
        <v>638</v>
      </c>
      <c r="D46" t="s">
        <v>14</v>
      </c>
      <c r="E46" t="s">
        <v>1495</v>
      </c>
      <c r="F46" t="s">
        <v>1496</v>
      </c>
      <c r="G46">
        <v>40</v>
      </c>
      <c r="H46">
        <v>2</v>
      </c>
      <c r="I46">
        <v>3</v>
      </c>
      <c r="J46" t="s">
        <v>1478</v>
      </c>
      <c r="K46" t="s">
        <v>1479</v>
      </c>
      <c r="L46">
        <v>1</v>
      </c>
      <c r="M46" t="s">
        <v>15</v>
      </c>
      <c r="N46">
        <v>2</v>
      </c>
      <c r="O46" t="s">
        <v>10</v>
      </c>
      <c r="P46">
        <v>21</v>
      </c>
      <c r="Q46" s="4">
        <v>45654</v>
      </c>
      <c r="R46" s="4"/>
      <c r="S46" t="str">
        <f>TEXT(Table1[[#This Row],[Hiring Date]],"mmmm")</f>
        <v>December</v>
      </c>
      <c r="T46" s="1">
        <f>COUNTIF(S:S,Table1[[#This Row],[Months List]])</f>
        <v>0</v>
      </c>
      <c r="U46" t="str">
        <f>TEXT(Table1[[#This Row],[Hiring Date]],"dddd")</f>
        <v>Saturday</v>
      </c>
      <c r="V46" s="1" t="str">
        <f>TEXT(Table1[[#This Row],[Hiring Date]],"yyyy")</f>
        <v>2024</v>
      </c>
    </row>
    <row r="47" spans="1:22">
      <c r="A47" t="s">
        <v>1047</v>
      </c>
      <c r="B47">
        <v>40</v>
      </c>
      <c r="C47">
        <v>663</v>
      </c>
      <c r="D47" t="s">
        <v>14</v>
      </c>
      <c r="E47" t="s">
        <v>1500</v>
      </c>
      <c r="F47" t="s">
        <v>1496</v>
      </c>
      <c r="G47">
        <v>81</v>
      </c>
      <c r="H47">
        <v>3</v>
      </c>
      <c r="I47">
        <v>2</v>
      </c>
      <c r="J47" t="s">
        <v>1484</v>
      </c>
      <c r="K47" t="s">
        <v>1485</v>
      </c>
      <c r="L47">
        <v>3</v>
      </c>
      <c r="M47" t="s">
        <v>16</v>
      </c>
      <c r="N47">
        <v>3</v>
      </c>
      <c r="O47" t="s">
        <v>13</v>
      </c>
      <c r="P47">
        <v>11</v>
      </c>
      <c r="Q47" s="4">
        <v>45720</v>
      </c>
      <c r="R47" s="4"/>
      <c r="S47" t="str">
        <f>TEXT(Table1[[#This Row],[Hiring Date]],"mmmm")</f>
        <v>March</v>
      </c>
      <c r="T47" s="1">
        <f>COUNTIF(S:S,Table1[[#This Row],[Months List]])</f>
        <v>0</v>
      </c>
      <c r="U47" t="str">
        <f>TEXT(Table1[[#This Row],[Hiring Date]],"dddd")</f>
        <v>Tuesday</v>
      </c>
      <c r="V47" s="1" t="str">
        <f>TEXT(Table1[[#This Row],[Hiring Date]],"yyyy")</f>
        <v>2025</v>
      </c>
    </row>
    <row r="48" spans="1:22">
      <c r="A48" t="s">
        <v>1048</v>
      </c>
      <c r="B48">
        <v>31</v>
      </c>
      <c r="C48">
        <v>326</v>
      </c>
      <c r="D48" t="s">
        <v>11</v>
      </c>
      <c r="E48" t="s">
        <v>1497</v>
      </c>
      <c r="F48" t="s">
        <v>1496</v>
      </c>
      <c r="G48">
        <v>31</v>
      </c>
      <c r="H48">
        <v>3</v>
      </c>
      <c r="I48">
        <v>3</v>
      </c>
      <c r="J48" t="s">
        <v>1474</v>
      </c>
      <c r="K48" t="s">
        <v>1475</v>
      </c>
      <c r="L48">
        <v>4</v>
      </c>
      <c r="M48" t="s">
        <v>16</v>
      </c>
      <c r="N48">
        <v>1</v>
      </c>
      <c r="O48" t="s">
        <v>13</v>
      </c>
      <c r="P48">
        <v>13</v>
      </c>
      <c r="Q48" s="4">
        <v>45673</v>
      </c>
      <c r="R48" s="4"/>
      <c r="S48" t="str">
        <f>TEXT(Table1[[#This Row],[Hiring Date]],"mmmm")</f>
        <v>January</v>
      </c>
      <c r="T48" s="1">
        <f>COUNTIF(S:S,Table1[[#This Row],[Months List]])</f>
        <v>0</v>
      </c>
      <c r="U48" t="str">
        <f>TEXT(Table1[[#This Row],[Hiring Date]],"dddd")</f>
        <v>Thursday</v>
      </c>
      <c r="V48" s="1" t="str">
        <f>TEXT(Table1[[#This Row],[Hiring Date]],"yyyy")</f>
        <v>2025</v>
      </c>
    </row>
    <row r="49" spans="1:22">
      <c r="A49" t="s">
        <v>1049</v>
      </c>
      <c r="B49">
        <v>46</v>
      </c>
      <c r="C49">
        <v>377</v>
      </c>
      <c r="D49" t="s">
        <v>11</v>
      </c>
      <c r="E49" t="s">
        <v>1498</v>
      </c>
      <c r="F49" t="s">
        <v>1496</v>
      </c>
      <c r="G49">
        <v>52</v>
      </c>
      <c r="H49">
        <v>3</v>
      </c>
      <c r="I49">
        <v>3</v>
      </c>
      <c r="J49" t="s">
        <v>1474</v>
      </c>
      <c r="K49" t="s">
        <v>1475</v>
      </c>
      <c r="L49">
        <v>4</v>
      </c>
      <c r="M49" t="s">
        <v>16</v>
      </c>
      <c r="N49">
        <v>4</v>
      </c>
      <c r="O49" t="s">
        <v>13</v>
      </c>
      <c r="P49">
        <v>28</v>
      </c>
      <c r="Q49" s="4">
        <v>45837</v>
      </c>
      <c r="R49" s="4"/>
      <c r="S49" t="str">
        <f>TEXT(Table1[[#This Row],[Hiring Date]],"mmmm")</f>
        <v>June</v>
      </c>
      <c r="T49" s="1">
        <f>COUNTIF(S:S,Table1[[#This Row],[Months List]])</f>
        <v>0</v>
      </c>
      <c r="U49" t="str">
        <f>TEXT(Table1[[#This Row],[Hiring Date]],"dddd")</f>
        <v>Sunday</v>
      </c>
      <c r="V49" s="1" t="str">
        <f>TEXT(Table1[[#This Row],[Hiring Date]],"yyyy")</f>
        <v>2025</v>
      </c>
    </row>
    <row r="50" spans="1:22">
      <c r="A50" t="s">
        <v>1050</v>
      </c>
      <c r="B50">
        <v>39</v>
      </c>
      <c r="C50">
        <v>592</v>
      </c>
      <c r="D50" t="s">
        <v>14</v>
      </c>
      <c r="E50" t="s">
        <v>1497</v>
      </c>
      <c r="F50" t="s">
        <v>1499</v>
      </c>
      <c r="G50">
        <v>54</v>
      </c>
      <c r="H50">
        <v>2</v>
      </c>
      <c r="I50">
        <v>1</v>
      </c>
      <c r="J50" t="s">
        <v>1484</v>
      </c>
      <c r="K50" t="s">
        <v>1485</v>
      </c>
      <c r="L50">
        <v>1</v>
      </c>
      <c r="M50" t="s">
        <v>12</v>
      </c>
      <c r="N50">
        <v>2</v>
      </c>
      <c r="O50" t="s">
        <v>10</v>
      </c>
      <c r="P50">
        <v>11</v>
      </c>
      <c r="Q50" s="4">
        <v>45952</v>
      </c>
      <c r="R50" s="4"/>
      <c r="S50" t="str">
        <f>TEXT(Table1[[#This Row],[Hiring Date]],"mmmm")</f>
        <v>October</v>
      </c>
      <c r="T50" s="1">
        <f>COUNTIF(S:S,Table1[[#This Row],[Months List]])</f>
        <v>0</v>
      </c>
      <c r="U50" t="str">
        <f>TEXT(Table1[[#This Row],[Hiring Date]],"dddd")</f>
        <v>Wednesday</v>
      </c>
      <c r="V50" s="1" t="str">
        <f>TEXT(Table1[[#This Row],[Hiring Date]],"yyyy")</f>
        <v>2025</v>
      </c>
    </row>
    <row r="51" spans="1:22">
      <c r="A51" t="s">
        <v>1051</v>
      </c>
      <c r="B51">
        <v>31</v>
      </c>
      <c r="C51">
        <v>1445</v>
      </c>
      <c r="D51" t="s">
        <v>14</v>
      </c>
      <c r="E51" t="s">
        <v>1497</v>
      </c>
      <c r="F51" t="s">
        <v>1499</v>
      </c>
      <c r="G51">
        <v>100</v>
      </c>
      <c r="H51">
        <v>4</v>
      </c>
      <c r="I51">
        <v>3</v>
      </c>
      <c r="J51" t="s">
        <v>1480</v>
      </c>
      <c r="K51" t="s">
        <v>1481</v>
      </c>
      <c r="L51">
        <v>2</v>
      </c>
      <c r="M51" t="s">
        <v>12</v>
      </c>
      <c r="N51">
        <v>1</v>
      </c>
      <c r="O51" t="s">
        <v>13</v>
      </c>
      <c r="P51">
        <v>10</v>
      </c>
      <c r="Q51" s="4">
        <v>45907</v>
      </c>
      <c r="R51" s="4"/>
      <c r="S51" t="str">
        <f>TEXT(Table1[[#This Row],[Hiring Date]],"mmmm")</f>
        <v>September</v>
      </c>
      <c r="T51" s="1">
        <f>COUNTIF(S:S,Table1[[#This Row],[Months List]])</f>
        <v>0</v>
      </c>
      <c r="U51" t="str">
        <f>TEXT(Table1[[#This Row],[Hiring Date]],"dddd")</f>
        <v>Sunday</v>
      </c>
      <c r="V51" s="1" t="str">
        <f>TEXT(Table1[[#This Row],[Hiring Date]],"yyyy")</f>
        <v>2025</v>
      </c>
    </row>
    <row r="52" spans="1:22">
      <c r="A52" t="s">
        <v>1052</v>
      </c>
      <c r="B52">
        <v>45</v>
      </c>
      <c r="C52">
        <v>1038</v>
      </c>
      <c r="D52" t="s">
        <v>14</v>
      </c>
      <c r="E52" t="s">
        <v>1495</v>
      </c>
      <c r="F52" t="s">
        <v>1496</v>
      </c>
      <c r="G52">
        <v>95</v>
      </c>
      <c r="H52">
        <v>1</v>
      </c>
      <c r="I52">
        <v>3</v>
      </c>
      <c r="J52" t="s">
        <v>1478</v>
      </c>
      <c r="K52" t="s">
        <v>1479</v>
      </c>
      <c r="L52">
        <v>1</v>
      </c>
      <c r="M52" t="s">
        <v>16</v>
      </c>
      <c r="N52">
        <v>2</v>
      </c>
      <c r="O52" t="s">
        <v>10</v>
      </c>
      <c r="P52">
        <v>24</v>
      </c>
      <c r="Q52" s="4">
        <v>45686</v>
      </c>
      <c r="R52" s="4"/>
      <c r="S52" t="str">
        <f>TEXT(Table1[[#This Row],[Hiring Date]],"mmmm")</f>
        <v>January</v>
      </c>
      <c r="T52" s="1">
        <f>COUNTIF(S:S,Table1[[#This Row],[Months List]])</f>
        <v>0</v>
      </c>
      <c r="U52" t="str">
        <f>TEXT(Table1[[#This Row],[Hiring Date]],"dddd")</f>
        <v>Wednesday</v>
      </c>
      <c r="V52" s="1" t="str">
        <f>TEXT(Table1[[#This Row],[Hiring Date]],"yyyy")</f>
        <v>2025</v>
      </c>
    </row>
    <row r="53" spans="1:22">
      <c r="A53" t="s">
        <v>1053</v>
      </c>
      <c r="B53">
        <v>31</v>
      </c>
      <c r="C53">
        <v>1398</v>
      </c>
      <c r="D53" t="s">
        <v>17</v>
      </c>
      <c r="E53" t="s">
        <v>1495</v>
      </c>
      <c r="F53" t="s">
        <v>1499</v>
      </c>
      <c r="G53">
        <v>96</v>
      </c>
      <c r="H53">
        <v>4</v>
      </c>
      <c r="I53">
        <v>1</v>
      </c>
      <c r="J53" t="s">
        <v>1486</v>
      </c>
      <c r="K53" t="s">
        <v>17</v>
      </c>
      <c r="L53">
        <v>2</v>
      </c>
      <c r="M53" t="s">
        <v>12</v>
      </c>
      <c r="N53">
        <v>9</v>
      </c>
      <c r="O53" t="s">
        <v>13</v>
      </c>
      <c r="P53">
        <v>8</v>
      </c>
      <c r="Q53" s="4">
        <v>45950</v>
      </c>
      <c r="R53" s="4"/>
      <c r="S53" t="str">
        <f>TEXT(Table1[[#This Row],[Hiring Date]],"mmmm")</f>
        <v>October</v>
      </c>
      <c r="T53" s="1">
        <f>COUNTIF(S:S,Table1[[#This Row],[Months List]])</f>
        <v>0</v>
      </c>
      <c r="U53" t="str">
        <f>TEXT(Table1[[#This Row],[Hiring Date]],"dddd")</f>
        <v>Monday</v>
      </c>
      <c r="V53" s="1" t="str">
        <f>TEXT(Table1[[#This Row],[Hiring Date]],"yyyy")</f>
        <v>2025</v>
      </c>
    </row>
    <row r="54" spans="1:22">
      <c r="A54" t="s">
        <v>1054</v>
      </c>
      <c r="B54">
        <v>31</v>
      </c>
      <c r="C54">
        <v>523</v>
      </c>
      <c r="D54" t="s">
        <v>14</v>
      </c>
      <c r="E54" t="s">
        <v>1497</v>
      </c>
      <c r="F54" t="s">
        <v>1496</v>
      </c>
      <c r="G54">
        <v>94</v>
      </c>
      <c r="H54">
        <v>3</v>
      </c>
      <c r="I54">
        <v>1</v>
      </c>
      <c r="J54" t="s">
        <v>1484</v>
      </c>
      <c r="K54" t="s">
        <v>1485</v>
      </c>
      <c r="L54">
        <v>4</v>
      </c>
      <c r="M54" t="s">
        <v>15</v>
      </c>
      <c r="N54">
        <v>6</v>
      </c>
      <c r="O54" t="s">
        <v>10</v>
      </c>
      <c r="P54">
        <v>7</v>
      </c>
      <c r="Q54" s="4">
        <v>45891</v>
      </c>
      <c r="R54" s="4"/>
      <c r="S54" t="str">
        <f>TEXT(Table1[[#This Row],[Hiring Date]],"mmmm")</f>
        <v>August</v>
      </c>
      <c r="T54" s="1">
        <f>COUNTIF(S:S,Table1[[#This Row],[Months List]])</f>
        <v>0</v>
      </c>
      <c r="U54" t="str">
        <f>TEXT(Table1[[#This Row],[Hiring Date]],"dddd")</f>
        <v>Friday</v>
      </c>
      <c r="V54" s="1" t="str">
        <f>TEXT(Table1[[#This Row],[Hiring Date]],"yyyy")</f>
        <v>2025</v>
      </c>
    </row>
    <row r="55" spans="1:22">
      <c r="A55" t="s">
        <v>1055</v>
      </c>
      <c r="B55">
        <v>45</v>
      </c>
      <c r="C55">
        <v>1448</v>
      </c>
      <c r="D55" t="s">
        <v>14</v>
      </c>
      <c r="E55" t="s">
        <v>1501</v>
      </c>
      <c r="F55" t="s">
        <v>1496</v>
      </c>
      <c r="G55">
        <v>55</v>
      </c>
      <c r="H55">
        <v>3</v>
      </c>
      <c r="I55">
        <v>3</v>
      </c>
      <c r="J55" t="s">
        <v>1480</v>
      </c>
      <c r="K55" t="s">
        <v>1481</v>
      </c>
      <c r="L55">
        <v>4</v>
      </c>
      <c r="M55" t="s">
        <v>15</v>
      </c>
      <c r="N55">
        <v>4</v>
      </c>
      <c r="O55" t="s">
        <v>10</v>
      </c>
      <c r="P55">
        <v>10</v>
      </c>
      <c r="Q55" s="4">
        <v>45754</v>
      </c>
      <c r="R55" s="4"/>
      <c r="S55" t="str">
        <f>TEXT(Table1[[#This Row],[Hiring Date]],"mmmm")</f>
        <v>April</v>
      </c>
      <c r="T55" s="1">
        <f>COUNTIF(S:S,Table1[[#This Row],[Months List]])</f>
        <v>0</v>
      </c>
      <c r="U55" t="str">
        <f>TEXT(Table1[[#This Row],[Hiring Date]],"dddd")</f>
        <v>Monday</v>
      </c>
      <c r="V55" s="1" t="str">
        <f>TEXT(Table1[[#This Row],[Hiring Date]],"yyyy")</f>
        <v>2025</v>
      </c>
    </row>
    <row r="56" spans="1:22">
      <c r="A56" t="s">
        <v>1056</v>
      </c>
      <c r="B56">
        <v>48</v>
      </c>
      <c r="C56">
        <v>1221</v>
      </c>
      <c r="D56" t="s">
        <v>11</v>
      </c>
      <c r="E56" t="s">
        <v>1498</v>
      </c>
      <c r="F56" t="s">
        <v>1496</v>
      </c>
      <c r="G56">
        <v>96</v>
      </c>
      <c r="H56">
        <v>3</v>
      </c>
      <c r="I56">
        <v>2</v>
      </c>
      <c r="J56" t="s">
        <v>1474</v>
      </c>
      <c r="K56" t="s">
        <v>1475</v>
      </c>
      <c r="L56">
        <v>1</v>
      </c>
      <c r="M56" t="s">
        <v>16</v>
      </c>
      <c r="N56">
        <v>4</v>
      </c>
      <c r="O56" t="s">
        <v>13</v>
      </c>
      <c r="P56">
        <v>15</v>
      </c>
      <c r="Q56" s="4">
        <v>45832</v>
      </c>
      <c r="R56" s="4"/>
      <c r="S56" t="str">
        <f>TEXT(Table1[[#This Row],[Hiring Date]],"mmmm")</f>
        <v>June</v>
      </c>
      <c r="T56" s="1">
        <f>COUNTIF(S:S,Table1[[#This Row],[Months List]])</f>
        <v>0</v>
      </c>
      <c r="U56" t="str">
        <f>TEXT(Table1[[#This Row],[Hiring Date]],"dddd")</f>
        <v>Tuesday</v>
      </c>
      <c r="V56" s="1" t="str">
        <f>TEXT(Table1[[#This Row],[Hiring Date]],"yyyy")</f>
        <v>2025</v>
      </c>
    </row>
    <row r="57" spans="1:22">
      <c r="A57" t="s">
        <v>112</v>
      </c>
      <c r="B57">
        <v>32</v>
      </c>
      <c r="C57">
        <v>1093</v>
      </c>
      <c r="D57" t="s">
        <v>11</v>
      </c>
      <c r="E57" t="s">
        <v>1495</v>
      </c>
      <c r="F57" t="s">
        <v>1496</v>
      </c>
      <c r="G57">
        <v>87</v>
      </c>
      <c r="H57">
        <v>3</v>
      </c>
      <c r="I57">
        <v>2</v>
      </c>
      <c r="J57" t="s">
        <v>1474</v>
      </c>
      <c r="K57" t="s">
        <v>1475</v>
      </c>
      <c r="L57">
        <v>3</v>
      </c>
      <c r="M57" t="s">
        <v>12</v>
      </c>
      <c r="N57">
        <v>1</v>
      </c>
      <c r="O57" t="s">
        <v>13</v>
      </c>
      <c r="P57">
        <v>12</v>
      </c>
      <c r="Q57" s="4">
        <v>45957</v>
      </c>
      <c r="R57" s="4"/>
      <c r="S57" t="str">
        <f>TEXT(Table1[[#This Row],[Hiring Date]],"mmmm")</f>
        <v>October</v>
      </c>
      <c r="T57" s="1">
        <f>COUNTIF(S:S,Table1[[#This Row],[Months List]])</f>
        <v>0</v>
      </c>
      <c r="U57" t="str">
        <f>TEXT(Table1[[#This Row],[Hiring Date]],"dddd")</f>
        <v>Monday</v>
      </c>
      <c r="V57" s="1" t="str">
        <f>TEXT(Table1[[#This Row],[Hiring Date]],"yyyy")</f>
        <v>2025</v>
      </c>
    </row>
    <row r="58" spans="1:22">
      <c r="A58" t="s">
        <v>1057</v>
      </c>
      <c r="B58">
        <v>34</v>
      </c>
      <c r="C58">
        <v>1107</v>
      </c>
      <c r="D58" t="s">
        <v>17</v>
      </c>
      <c r="E58" t="s">
        <v>1501</v>
      </c>
      <c r="F58" t="s">
        <v>1499</v>
      </c>
      <c r="G58">
        <v>52</v>
      </c>
      <c r="H58">
        <v>3</v>
      </c>
      <c r="I58">
        <v>1</v>
      </c>
      <c r="J58" t="s">
        <v>1486</v>
      </c>
      <c r="K58" t="s">
        <v>17</v>
      </c>
      <c r="L58">
        <v>3</v>
      </c>
      <c r="M58" t="s">
        <v>15</v>
      </c>
      <c r="N58">
        <v>1</v>
      </c>
      <c r="O58" t="s">
        <v>13</v>
      </c>
      <c r="P58">
        <v>2</v>
      </c>
      <c r="Q58" s="4">
        <v>45922</v>
      </c>
      <c r="R58" s="4"/>
      <c r="S58" t="str">
        <f>TEXT(Table1[[#This Row],[Hiring Date]],"mmmm")</f>
        <v>September</v>
      </c>
      <c r="T58" s="1">
        <f>COUNTIF(S:S,Table1[[#This Row],[Months List]])</f>
        <v>0</v>
      </c>
      <c r="U58" t="str">
        <f>TEXT(Table1[[#This Row],[Hiring Date]],"dddd")</f>
        <v>Monday</v>
      </c>
      <c r="V58" s="1" t="str">
        <f>TEXT(Table1[[#This Row],[Hiring Date]],"yyyy")</f>
        <v>2025</v>
      </c>
    </row>
    <row r="59" spans="1:22">
      <c r="A59" t="s">
        <v>1058</v>
      </c>
      <c r="B59">
        <v>40</v>
      </c>
      <c r="C59">
        <v>218</v>
      </c>
      <c r="D59" t="s">
        <v>14</v>
      </c>
      <c r="E59" t="s">
        <v>1495</v>
      </c>
      <c r="F59" t="s">
        <v>1496</v>
      </c>
      <c r="G59">
        <v>55</v>
      </c>
      <c r="H59">
        <v>2</v>
      </c>
      <c r="I59">
        <v>3</v>
      </c>
      <c r="J59" t="s">
        <v>1487</v>
      </c>
      <c r="K59" t="s">
        <v>1488</v>
      </c>
      <c r="L59">
        <v>2</v>
      </c>
      <c r="M59" t="s">
        <v>16</v>
      </c>
      <c r="N59">
        <v>2</v>
      </c>
      <c r="O59" t="s">
        <v>13</v>
      </c>
      <c r="P59">
        <v>16</v>
      </c>
      <c r="Q59" s="4">
        <v>45795</v>
      </c>
      <c r="R59" s="4"/>
      <c r="S59" t="str">
        <f>TEXT(Table1[[#This Row],[Hiring Date]],"mmmm")</f>
        <v>May</v>
      </c>
      <c r="T59" s="1">
        <f>COUNTIF(S:S,Table1[[#This Row],[Months List]])</f>
        <v>0</v>
      </c>
      <c r="U59" t="str">
        <f>TEXT(Table1[[#This Row],[Hiring Date]],"dddd")</f>
        <v>Sunday</v>
      </c>
      <c r="V59" s="1" t="str">
        <f>TEXT(Table1[[#This Row],[Hiring Date]],"yyyy")</f>
        <v>2025</v>
      </c>
    </row>
    <row r="60" spans="1:22">
      <c r="A60" t="s">
        <v>1059</v>
      </c>
      <c r="B60">
        <v>28</v>
      </c>
      <c r="C60">
        <v>866</v>
      </c>
      <c r="D60" t="s">
        <v>11</v>
      </c>
      <c r="E60" t="s">
        <v>1495</v>
      </c>
      <c r="F60" t="s">
        <v>1496</v>
      </c>
      <c r="G60">
        <v>84</v>
      </c>
      <c r="H60">
        <v>3</v>
      </c>
      <c r="I60">
        <v>2</v>
      </c>
      <c r="J60" t="s">
        <v>1474</v>
      </c>
      <c r="K60" t="s">
        <v>1475</v>
      </c>
      <c r="L60">
        <v>1</v>
      </c>
      <c r="M60" t="s">
        <v>12</v>
      </c>
      <c r="N60">
        <v>0</v>
      </c>
      <c r="O60" t="s">
        <v>13</v>
      </c>
      <c r="P60">
        <v>6</v>
      </c>
      <c r="Q60" s="4">
        <v>45923</v>
      </c>
      <c r="R60" s="4"/>
      <c r="S60" t="str">
        <f>TEXT(Table1[[#This Row],[Hiring Date]],"mmmm")</f>
        <v>September</v>
      </c>
      <c r="T60" s="1">
        <f>COUNTIF(S:S,Table1[[#This Row],[Months List]])</f>
        <v>0</v>
      </c>
      <c r="U60" t="str">
        <f>TEXT(Table1[[#This Row],[Hiring Date]],"dddd")</f>
        <v>Tuesday</v>
      </c>
      <c r="V60" s="1" t="str">
        <f>TEXT(Table1[[#This Row],[Hiring Date]],"yyyy")</f>
        <v>2025</v>
      </c>
    </row>
    <row r="61" spans="1:22">
      <c r="A61" t="s">
        <v>1060</v>
      </c>
      <c r="B61">
        <v>44</v>
      </c>
      <c r="C61">
        <v>981</v>
      </c>
      <c r="D61" t="s">
        <v>14</v>
      </c>
      <c r="E61" t="s">
        <v>1497</v>
      </c>
      <c r="F61" t="s">
        <v>1496</v>
      </c>
      <c r="G61">
        <v>90</v>
      </c>
      <c r="H61">
        <v>2</v>
      </c>
      <c r="I61">
        <v>1</v>
      </c>
      <c r="J61" t="s">
        <v>1484</v>
      </c>
      <c r="K61" t="s">
        <v>1485</v>
      </c>
      <c r="L61">
        <v>3</v>
      </c>
      <c r="M61" t="s">
        <v>12</v>
      </c>
      <c r="N61">
        <v>3</v>
      </c>
      <c r="O61" t="s">
        <v>13</v>
      </c>
      <c r="P61">
        <v>7</v>
      </c>
      <c r="Q61" s="4">
        <v>45971</v>
      </c>
      <c r="R61" s="4"/>
      <c r="S61" t="str">
        <f>TEXT(Table1[[#This Row],[Hiring Date]],"mmmm")</f>
        <v>November</v>
      </c>
      <c r="T61" s="1">
        <f>COUNTIF(S:S,Table1[[#This Row],[Months List]])</f>
        <v>0</v>
      </c>
      <c r="U61" t="str">
        <f>TEXT(Table1[[#This Row],[Hiring Date]],"dddd")</f>
        <v>Monday</v>
      </c>
      <c r="V61" s="1" t="str">
        <f>TEXT(Table1[[#This Row],[Hiring Date]],"yyyy")</f>
        <v>2025</v>
      </c>
    </row>
    <row r="62" spans="1:22">
      <c r="A62" t="s">
        <v>1061</v>
      </c>
      <c r="B62">
        <v>53</v>
      </c>
      <c r="C62">
        <v>447</v>
      </c>
      <c r="D62" t="s">
        <v>14</v>
      </c>
      <c r="E62" t="s">
        <v>1495</v>
      </c>
      <c r="F62" t="s">
        <v>1496</v>
      </c>
      <c r="G62">
        <v>39</v>
      </c>
      <c r="H62">
        <v>4</v>
      </c>
      <c r="I62">
        <v>4</v>
      </c>
      <c r="J62" t="s">
        <v>1487</v>
      </c>
      <c r="K62" t="s">
        <v>1488</v>
      </c>
      <c r="L62">
        <v>2</v>
      </c>
      <c r="M62" t="s">
        <v>12</v>
      </c>
      <c r="N62">
        <v>4</v>
      </c>
      <c r="O62" t="s">
        <v>13</v>
      </c>
      <c r="P62">
        <v>35</v>
      </c>
      <c r="Q62" s="4">
        <v>45954</v>
      </c>
      <c r="R62" s="4"/>
      <c r="S62" t="str">
        <f>TEXT(Table1[[#This Row],[Hiring Date]],"mmmm")</f>
        <v>October</v>
      </c>
      <c r="T62" s="1">
        <f>COUNTIF(S:S,Table1[[#This Row],[Months List]])</f>
        <v>0</v>
      </c>
      <c r="U62" t="str">
        <f>TEXT(Table1[[#This Row],[Hiring Date]],"dddd")</f>
        <v>Friday</v>
      </c>
      <c r="V62" s="1" t="str">
        <f>TEXT(Table1[[#This Row],[Hiring Date]],"yyyy")</f>
        <v>2025</v>
      </c>
    </row>
    <row r="63" spans="1:22">
      <c r="A63" t="s">
        <v>1062</v>
      </c>
      <c r="B63">
        <v>49</v>
      </c>
      <c r="C63">
        <v>1495</v>
      </c>
      <c r="D63" t="s">
        <v>14</v>
      </c>
      <c r="E63" t="s">
        <v>1501</v>
      </c>
      <c r="F63" t="s">
        <v>1496</v>
      </c>
      <c r="G63">
        <v>96</v>
      </c>
      <c r="H63">
        <v>3</v>
      </c>
      <c r="I63">
        <v>2</v>
      </c>
      <c r="J63" t="s">
        <v>1478</v>
      </c>
      <c r="K63" t="s">
        <v>1479</v>
      </c>
      <c r="L63">
        <v>3</v>
      </c>
      <c r="M63" t="s">
        <v>15</v>
      </c>
      <c r="N63">
        <v>2</v>
      </c>
      <c r="O63" t="s">
        <v>13</v>
      </c>
      <c r="P63">
        <v>20</v>
      </c>
      <c r="Q63" s="4">
        <v>45742</v>
      </c>
      <c r="R63" s="4"/>
      <c r="S63" t="str">
        <f>TEXT(Table1[[#This Row],[Hiring Date]],"mmmm")</f>
        <v>March</v>
      </c>
      <c r="T63" s="1">
        <f>COUNTIF(S:S,Table1[[#This Row],[Months List]])</f>
        <v>0</v>
      </c>
      <c r="U63" t="str">
        <f>TEXT(Table1[[#This Row],[Hiring Date]],"dddd")</f>
        <v>Wednesday</v>
      </c>
      <c r="V63" s="1" t="str">
        <f>TEXT(Table1[[#This Row],[Hiring Date]],"yyyy")</f>
        <v>2025</v>
      </c>
    </row>
    <row r="64" spans="1:22">
      <c r="A64" t="s">
        <v>1063</v>
      </c>
      <c r="B64">
        <v>40</v>
      </c>
      <c r="C64">
        <v>896</v>
      </c>
      <c r="D64" t="s">
        <v>14</v>
      </c>
      <c r="E64" t="s">
        <v>1495</v>
      </c>
      <c r="F64" t="s">
        <v>1496</v>
      </c>
      <c r="G64">
        <v>68</v>
      </c>
      <c r="H64">
        <v>3</v>
      </c>
      <c r="I64">
        <v>1</v>
      </c>
      <c r="J64" t="s">
        <v>1476</v>
      </c>
      <c r="K64" t="s">
        <v>1477</v>
      </c>
      <c r="L64">
        <v>3</v>
      </c>
      <c r="M64" t="s">
        <v>16</v>
      </c>
      <c r="N64">
        <v>2</v>
      </c>
      <c r="O64" t="s">
        <v>13</v>
      </c>
      <c r="P64">
        <v>8</v>
      </c>
      <c r="Q64" s="4">
        <v>45707</v>
      </c>
      <c r="R64" s="4"/>
      <c r="S64" t="str">
        <f>TEXT(Table1[[#This Row],[Hiring Date]],"mmmm")</f>
        <v>February</v>
      </c>
      <c r="T64" s="1">
        <f>COUNTIF(S:S,Table1[[#This Row],[Months List]])</f>
        <v>0</v>
      </c>
      <c r="U64" t="str">
        <f>TEXT(Table1[[#This Row],[Hiring Date]],"dddd")</f>
        <v>Wednesday</v>
      </c>
      <c r="V64" s="1" t="str">
        <f>TEXT(Table1[[#This Row],[Hiring Date]],"yyyy")</f>
        <v>2025</v>
      </c>
    </row>
    <row r="65" spans="1:22">
      <c r="A65" t="s">
        <v>1064</v>
      </c>
      <c r="B65">
        <v>44</v>
      </c>
      <c r="C65">
        <v>1467</v>
      </c>
      <c r="D65" t="s">
        <v>14</v>
      </c>
      <c r="E65" t="s">
        <v>1497</v>
      </c>
      <c r="F65" t="s">
        <v>1496</v>
      </c>
      <c r="G65">
        <v>49</v>
      </c>
      <c r="H65">
        <v>3</v>
      </c>
      <c r="I65">
        <v>1</v>
      </c>
      <c r="J65" t="s">
        <v>1476</v>
      </c>
      <c r="K65" t="s">
        <v>1477</v>
      </c>
      <c r="L65">
        <v>2</v>
      </c>
      <c r="M65" t="s">
        <v>12</v>
      </c>
      <c r="N65">
        <v>1</v>
      </c>
      <c r="O65" t="s">
        <v>13</v>
      </c>
      <c r="P65">
        <v>6</v>
      </c>
      <c r="Q65" s="4">
        <v>45852</v>
      </c>
      <c r="R65" s="4"/>
      <c r="S65" t="str">
        <f>TEXT(Table1[[#This Row],[Hiring Date]],"mmmm")</f>
        <v>July</v>
      </c>
      <c r="T65" s="1">
        <f>COUNTIF(S:S,Table1[[#This Row],[Months List]])</f>
        <v>0</v>
      </c>
      <c r="U65" t="str">
        <f>TEXT(Table1[[#This Row],[Hiring Date]],"dddd")</f>
        <v>Monday</v>
      </c>
      <c r="V65" s="1" t="str">
        <f>TEXT(Table1[[#This Row],[Hiring Date]],"yyyy")</f>
        <v>2025</v>
      </c>
    </row>
    <row r="66" spans="1:22">
      <c r="A66" t="s">
        <v>1065</v>
      </c>
      <c r="B66">
        <v>33</v>
      </c>
      <c r="C66">
        <v>430</v>
      </c>
      <c r="D66" t="s">
        <v>11</v>
      </c>
      <c r="E66" t="s">
        <v>1495</v>
      </c>
      <c r="F66" t="s">
        <v>1496</v>
      </c>
      <c r="G66">
        <v>54</v>
      </c>
      <c r="H66">
        <v>3</v>
      </c>
      <c r="I66">
        <v>2</v>
      </c>
      <c r="J66" t="s">
        <v>1474</v>
      </c>
      <c r="K66" t="s">
        <v>1475</v>
      </c>
      <c r="L66">
        <v>1</v>
      </c>
      <c r="M66" t="s">
        <v>15</v>
      </c>
      <c r="N66">
        <v>0</v>
      </c>
      <c r="O66" t="s">
        <v>13</v>
      </c>
      <c r="P66">
        <v>5</v>
      </c>
      <c r="Q66" s="4">
        <v>45900</v>
      </c>
      <c r="R66" s="4"/>
      <c r="S66" t="str">
        <f>TEXT(Table1[[#This Row],[Hiring Date]],"mmmm")</f>
        <v>August</v>
      </c>
      <c r="T66" s="1">
        <f>COUNTIF(S:S,Table1[[#This Row],[Months List]])</f>
        <v>0</v>
      </c>
      <c r="U66" t="str">
        <f>TEXT(Table1[[#This Row],[Hiring Date]],"dddd")</f>
        <v>Sunday</v>
      </c>
      <c r="V66" s="1" t="str">
        <f>TEXT(Table1[[#This Row],[Hiring Date]],"yyyy")</f>
        <v>2025</v>
      </c>
    </row>
    <row r="67" spans="1:22">
      <c r="A67" t="s">
        <v>1066</v>
      </c>
      <c r="B67">
        <v>34</v>
      </c>
      <c r="C67">
        <v>1326</v>
      </c>
      <c r="D67" t="s">
        <v>11</v>
      </c>
      <c r="E67" t="s">
        <v>1500</v>
      </c>
      <c r="F67" t="s">
        <v>1496</v>
      </c>
      <c r="G67">
        <v>81</v>
      </c>
      <c r="H67">
        <v>1</v>
      </c>
      <c r="I67">
        <v>2</v>
      </c>
      <c r="J67" t="s">
        <v>1474</v>
      </c>
      <c r="K67" t="s">
        <v>1475</v>
      </c>
      <c r="L67">
        <v>1</v>
      </c>
      <c r="M67" t="s">
        <v>12</v>
      </c>
      <c r="N67">
        <v>3</v>
      </c>
      <c r="O67" t="s">
        <v>13</v>
      </c>
      <c r="P67">
        <v>15</v>
      </c>
      <c r="Q67" s="4">
        <v>45926</v>
      </c>
      <c r="R67" s="4"/>
      <c r="S67" t="str">
        <f>TEXT(Table1[[#This Row],[Hiring Date]],"mmmm")</f>
        <v>September</v>
      </c>
      <c r="T67" s="1">
        <f>COUNTIF(S:S,Table1[[#This Row],[Months List]])</f>
        <v>0</v>
      </c>
      <c r="U67" t="str">
        <f>TEXT(Table1[[#This Row],[Hiring Date]],"dddd")</f>
        <v>Friday</v>
      </c>
      <c r="V67" s="1" t="str">
        <f>TEXT(Table1[[#This Row],[Hiring Date]],"yyyy")</f>
        <v>2025</v>
      </c>
    </row>
    <row r="68" spans="1:22">
      <c r="A68" t="s">
        <v>113</v>
      </c>
      <c r="B68">
        <v>54</v>
      </c>
      <c r="C68">
        <v>1217</v>
      </c>
      <c r="D68" t="s">
        <v>14</v>
      </c>
      <c r="E68" t="s">
        <v>1501</v>
      </c>
      <c r="F68" t="s">
        <v>1499</v>
      </c>
      <c r="G68">
        <v>60</v>
      </c>
      <c r="H68">
        <v>3</v>
      </c>
      <c r="I68">
        <v>3</v>
      </c>
      <c r="J68" t="s">
        <v>1487</v>
      </c>
      <c r="K68" t="s">
        <v>1488</v>
      </c>
      <c r="L68">
        <v>3</v>
      </c>
      <c r="M68" t="s">
        <v>15</v>
      </c>
      <c r="N68">
        <v>9</v>
      </c>
      <c r="O68" t="s">
        <v>13</v>
      </c>
      <c r="P68">
        <v>16</v>
      </c>
      <c r="Q68" s="4">
        <v>45972</v>
      </c>
      <c r="R68" s="4"/>
      <c r="S68" t="str">
        <f>TEXT(Table1[[#This Row],[Hiring Date]],"mmmm")</f>
        <v>November</v>
      </c>
      <c r="T68" s="1">
        <f>COUNTIF(S:S,Table1[[#This Row],[Months List]])</f>
        <v>0</v>
      </c>
      <c r="U68" t="str">
        <f>TEXT(Table1[[#This Row],[Hiring Date]],"dddd")</f>
        <v>Tuesday</v>
      </c>
      <c r="V68" s="1" t="str">
        <f>TEXT(Table1[[#This Row],[Hiring Date]],"yyyy")</f>
        <v>2025</v>
      </c>
    </row>
    <row r="69" spans="1:22">
      <c r="A69" t="s">
        <v>1067</v>
      </c>
      <c r="B69">
        <v>30</v>
      </c>
      <c r="C69">
        <v>1358</v>
      </c>
      <c r="D69" t="s">
        <v>11</v>
      </c>
      <c r="E69" t="s">
        <v>1497</v>
      </c>
      <c r="F69" t="s">
        <v>1496</v>
      </c>
      <c r="G69">
        <v>96</v>
      </c>
      <c r="H69">
        <v>3</v>
      </c>
      <c r="I69">
        <v>2</v>
      </c>
      <c r="J69" t="s">
        <v>1474</v>
      </c>
      <c r="K69" t="s">
        <v>1475</v>
      </c>
      <c r="L69">
        <v>3</v>
      </c>
      <c r="M69" t="s">
        <v>15</v>
      </c>
      <c r="N69">
        <v>8</v>
      </c>
      <c r="O69" t="s">
        <v>13</v>
      </c>
      <c r="P69">
        <v>4</v>
      </c>
      <c r="Q69" s="4">
        <v>45745</v>
      </c>
      <c r="R69" s="4"/>
      <c r="S69" t="str">
        <f>TEXT(Table1[[#This Row],[Hiring Date]],"mmmm")</f>
        <v>March</v>
      </c>
      <c r="T69" s="1">
        <f>COUNTIF(S:S,Table1[[#This Row],[Months List]])</f>
        <v>0</v>
      </c>
      <c r="U69" t="str">
        <f>TEXT(Table1[[#This Row],[Hiring Date]],"dddd")</f>
        <v>Saturday</v>
      </c>
      <c r="V69" s="1" t="str">
        <f>TEXT(Table1[[#This Row],[Hiring Date]],"yyyy")</f>
        <v>2025</v>
      </c>
    </row>
    <row r="70" spans="1:22">
      <c r="A70" t="s">
        <v>1068</v>
      </c>
      <c r="B70">
        <v>42</v>
      </c>
      <c r="C70">
        <v>748</v>
      </c>
      <c r="D70" t="s">
        <v>14</v>
      </c>
      <c r="E70" t="s">
        <v>1495</v>
      </c>
      <c r="F70" t="s">
        <v>1499</v>
      </c>
      <c r="G70">
        <v>74</v>
      </c>
      <c r="H70">
        <v>3</v>
      </c>
      <c r="I70">
        <v>1</v>
      </c>
      <c r="J70" t="s">
        <v>1484</v>
      </c>
      <c r="K70" t="s">
        <v>1485</v>
      </c>
      <c r="L70">
        <v>4</v>
      </c>
      <c r="M70" t="s">
        <v>12</v>
      </c>
      <c r="N70">
        <v>1</v>
      </c>
      <c r="O70" t="s">
        <v>13</v>
      </c>
      <c r="P70">
        <v>12</v>
      </c>
      <c r="Q70" s="4">
        <v>45972</v>
      </c>
      <c r="R70" s="4"/>
      <c r="S70" t="str">
        <f>TEXT(Table1[[#This Row],[Hiring Date]],"mmmm")</f>
        <v>November</v>
      </c>
      <c r="T70" s="1">
        <f>COUNTIF(S:S,Table1[[#This Row],[Months List]])</f>
        <v>0</v>
      </c>
      <c r="U70" t="str">
        <f>TEXT(Table1[[#This Row],[Hiring Date]],"dddd")</f>
        <v>Tuesday</v>
      </c>
      <c r="V70" s="1" t="str">
        <f>TEXT(Table1[[#This Row],[Hiring Date]],"yyyy")</f>
        <v>2025</v>
      </c>
    </row>
    <row r="71" spans="1:22">
      <c r="A71" t="s">
        <v>1069</v>
      </c>
      <c r="B71">
        <v>44</v>
      </c>
      <c r="C71">
        <v>383</v>
      </c>
      <c r="D71" t="s">
        <v>11</v>
      </c>
      <c r="E71" t="s">
        <v>1498</v>
      </c>
      <c r="F71" t="s">
        <v>1499</v>
      </c>
      <c r="G71">
        <v>79</v>
      </c>
      <c r="H71">
        <v>3</v>
      </c>
      <c r="I71">
        <v>2</v>
      </c>
      <c r="J71" t="s">
        <v>1474</v>
      </c>
      <c r="K71" t="s">
        <v>1475</v>
      </c>
      <c r="L71">
        <v>3</v>
      </c>
      <c r="M71" t="s">
        <v>15</v>
      </c>
      <c r="N71">
        <v>7</v>
      </c>
      <c r="O71" t="s">
        <v>13</v>
      </c>
      <c r="P71">
        <v>11</v>
      </c>
      <c r="Q71" s="4">
        <v>45699</v>
      </c>
      <c r="R71" s="4"/>
      <c r="S71" t="str">
        <f>TEXT(Table1[[#This Row],[Hiring Date]],"mmmm")</f>
        <v>February</v>
      </c>
      <c r="T71" s="1">
        <f>COUNTIF(S:S,Table1[[#This Row],[Months List]])</f>
        <v>0</v>
      </c>
      <c r="U71" t="str">
        <f>TEXT(Table1[[#This Row],[Hiring Date]],"dddd")</f>
        <v>Tuesday</v>
      </c>
      <c r="V71" s="1" t="str">
        <f>TEXT(Table1[[#This Row],[Hiring Date]],"yyyy")</f>
        <v>2025</v>
      </c>
    </row>
    <row r="72" spans="1:22">
      <c r="A72" t="s">
        <v>1070</v>
      </c>
      <c r="B72">
        <v>30</v>
      </c>
      <c r="C72">
        <v>990</v>
      </c>
      <c r="D72" t="s">
        <v>14</v>
      </c>
      <c r="E72" t="s">
        <v>1501</v>
      </c>
      <c r="F72" t="s">
        <v>1496</v>
      </c>
      <c r="G72">
        <v>64</v>
      </c>
      <c r="H72">
        <v>3</v>
      </c>
      <c r="I72">
        <v>1</v>
      </c>
      <c r="J72" t="s">
        <v>1476</v>
      </c>
      <c r="K72" t="s">
        <v>1477</v>
      </c>
      <c r="L72">
        <v>3</v>
      </c>
      <c r="M72" t="s">
        <v>16</v>
      </c>
      <c r="N72">
        <v>1</v>
      </c>
      <c r="O72" t="s">
        <v>13</v>
      </c>
      <c r="P72">
        <v>1</v>
      </c>
      <c r="Q72" s="4">
        <v>45711</v>
      </c>
      <c r="R72" s="4"/>
      <c r="S72" t="str">
        <f>TEXT(Table1[[#This Row],[Hiring Date]],"mmmm")</f>
        <v>February</v>
      </c>
      <c r="T72" s="1">
        <f>COUNTIF(S:S,Table1[[#This Row],[Months List]])</f>
        <v>0</v>
      </c>
      <c r="U72" t="str">
        <f>TEXT(Table1[[#This Row],[Hiring Date]],"dddd")</f>
        <v>Sunday</v>
      </c>
      <c r="V72" s="1" t="str">
        <f>TEXT(Table1[[#This Row],[Hiring Date]],"yyyy")</f>
        <v>2025</v>
      </c>
    </row>
    <row r="73" spans="1:22">
      <c r="A73" t="s">
        <v>1071</v>
      </c>
      <c r="B73">
        <v>57</v>
      </c>
      <c r="C73">
        <v>405</v>
      </c>
      <c r="D73" t="s">
        <v>14</v>
      </c>
      <c r="E73" t="s">
        <v>1497</v>
      </c>
      <c r="F73" t="s">
        <v>1496</v>
      </c>
      <c r="G73">
        <v>93</v>
      </c>
      <c r="H73">
        <v>4</v>
      </c>
      <c r="I73">
        <v>2</v>
      </c>
      <c r="J73" t="s">
        <v>1476</v>
      </c>
      <c r="K73" t="s">
        <v>1477</v>
      </c>
      <c r="L73">
        <v>3</v>
      </c>
      <c r="M73" t="s">
        <v>15</v>
      </c>
      <c r="N73">
        <v>0</v>
      </c>
      <c r="O73" t="s">
        <v>13</v>
      </c>
      <c r="P73">
        <v>13</v>
      </c>
      <c r="Q73" s="4">
        <v>45670</v>
      </c>
      <c r="R73" s="4"/>
      <c r="S73" t="str">
        <f>TEXT(Table1[[#This Row],[Hiring Date]],"mmmm")</f>
        <v>January</v>
      </c>
      <c r="T73" s="1">
        <f>COUNTIF(S:S,Table1[[#This Row],[Months List]])</f>
        <v>0</v>
      </c>
      <c r="U73" t="str">
        <f>TEXT(Table1[[#This Row],[Hiring Date]],"dddd")</f>
        <v>Monday</v>
      </c>
      <c r="V73" s="1" t="str">
        <f>TEXT(Table1[[#This Row],[Hiring Date]],"yyyy")</f>
        <v>2025</v>
      </c>
    </row>
    <row r="74" spans="1:22">
      <c r="A74" t="s">
        <v>1072</v>
      </c>
      <c r="B74">
        <v>49</v>
      </c>
      <c r="C74">
        <v>1490</v>
      </c>
      <c r="D74" t="s">
        <v>14</v>
      </c>
      <c r="E74" t="s">
        <v>1497</v>
      </c>
      <c r="F74" t="s">
        <v>1496</v>
      </c>
      <c r="G74">
        <v>35</v>
      </c>
      <c r="H74">
        <v>3</v>
      </c>
      <c r="I74">
        <v>3</v>
      </c>
      <c r="J74" t="s">
        <v>1478</v>
      </c>
      <c r="K74" t="s">
        <v>1479</v>
      </c>
      <c r="L74">
        <v>2</v>
      </c>
      <c r="M74" t="s">
        <v>16</v>
      </c>
      <c r="N74">
        <v>3</v>
      </c>
      <c r="O74" t="s">
        <v>13</v>
      </c>
      <c r="P74">
        <v>29</v>
      </c>
      <c r="Q74" s="4">
        <v>45820</v>
      </c>
      <c r="R74" s="4"/>
      <c r="S74" t="str">
        <f>TEXT(Table1[[#This Row],[Hiring Date]],"mmmm")</f>
        <v>June</v>
      </c>
      <c r="T74" s="1">
        <f>COUNTIF(S:S,Table1[[#This Row],[Months List]])</f>
        <v>0</v>
      </c>
      <c r="U74" t="str">
        <f>TEXT(Table1[[#This Row],[Hiring Date]],"dddd")</f>
        <v>Thursday</v>
      </c>
      <c r="V74" s="1" t="str">
        <f>TEXT(Table1[[#This Row],[Hiring Date]],"yyyy")</f>
        <v>2025</v>
      </c>
    </row>
    <row r="75" spans="1:22">
      <c r="A75" t="s">
        <v>1073</v>
      </c>
      <c r="B75">
        <v>34</v>
      </c>
      <c r="C75">
        <v>829</v>
      </c>
      <c r="D75" t="s">
        <v>14</v>
      </c>
      <c r="E75" t="s">
        <v>1495</v>
      </c>
      <c r="F75" t="s">
        <v>1496</v>
      </c>
      <c r="G75">
        <v>71</v>
      </c>
      <c r="H75">
        <v>3</v>
      </c>
      <c r="I75">
        <v>4</v>
      </c>
      <c r="J75" t="s">
        <v>1487</v>
      </c>
      <c r="K75" t="s">
        <v>1488</v>
      </c>
      <c r="L75">
        <v>1</v>
      </c>
      <c r="M75" t="s">
        <v>16</v>
      </c>
      <c r="N75">
        <v>7</v>
      </c>
      <c r="O75" t="s">
        <v>13</v>
      </c>
      <c r="P75">
        <v>16</v>
      </c>
      <c r="Q75" s="4">
        <v>45966</v>
      </c>
      <c r="R75" s="4"/>
      <c r="S75" t="str">
        <f>TEXT(Table1[[#This Row],[Hiring Date]],"mmmm")</f>
        <v>November</v>
      </c>
      <c r="T75" s="1">
        <f>COUNTIF(S:S,Table1[[#This Row],[Months List]])</f>
        <v>0</v>
      </c>
      <c r="U75" t="str">
        <f>TEXT(Table1[[#This Row],[Hiring Date]],"dddd")</f>
        <v>Wednesday</v>
      </c>
      <c r="V75" s="1" t="str">
        <f>TEXT(Table1[[#This Row],[Hiring Date]],"yyyy")</f>
        <v>2025</v>
      </c>
    </row>
    <row r="76" spans="1:22">
      <c r="A76" t="s">
        <v>1074</v>
      </c>
      <c r="B76">
        <v>28</v>
      </c>
      <c r="C76">
        <v>1496</v>
      </c>
      <c r="D76" t="s">
        <v>11</v>
      </c>
      <c r="E76" t="s">
        <v>1501</v>
      </c>
      <c r="F76" t="s">
        <v>1496</v>
      </c>
      <c r="G76">
        <v>92</v>
      </c>
      <c r="H76">
        <v>3</v>
      </c>
      <c r="I76">
        <v>1</v>
      </c>
      <c r="J76" t="s">
        <v>1489</v>
      </c>
      <c r="K76" t="s">
        <v>1490</v>
      </c>
      <c r="L76">
        <v>3</v>
      </c>
      <c r="M76" t="s">
        <v>15</v>
      </c>
      <c r="N76">
        <v>3</v>
      </c>
      <c r="O76" t="s">
        <v>13</v>
      </c>
      <c r="P76">
        <v>5</v>
      </c>
      <c r="Q76" s="4">
        <v>45667</v>
      </c>
      <c r="R76" s="4"/>
      <c r="S76" t="str">
        <f>TEXT(Table1[[#This Row],[Hiring Date]],"mmmm")</f>
        <v>January</v>
      </c>
      <c r="T76" s="1">
        <f>COUNTIF(S:S,Table1[[#This Row],[Months List]])</f>
        <v>0</v>
      </c>
      <c r="U76" t="str">
        <f>TEXT(Table1[[#This Row],[Hiring Date]],"dddd")</f>
        <v>Friday</v>
      </c>
      <c r="V76" s="1" t="str">
        <f>TEXT(Table1[[#This Row],[Hiring Date]],"yyyy")</f>
        <v>2025</v>
      </c>
    </row>
    <row r="77" spans="1:22">
      <c r="A77" t="s">
        <v>1075</v>
      </c>
      <c r="B77">
        <v>29</v>
      </c>
      <c r="C77">
        <v>115</v>
      </c>
      <c r="D77" t="s">
        <v>11</v>
      </c>
      <c r="E77" t="s">
        <v>1501</v>
      </c>
      <c r="F77" t="s">
        <v>1499</v>
      </c>
      <c r="G77">
        <v>51</v>
      </c>
      <c r="H77">
        <v>3</v>
      </c>
      <c r="I77">
        <v>2</v>
      </c>
      <c r="J77" t="s">
        <v>1474</v>
      </c>
      <c r="K77" t="s">
        <v>1475</v>
      </c>
      <c r="L77">
        <v>2</v>
      </c>
      <c r="M77" t="s">
        <v>12</v>
      </c>
      <c r="N77">
        <v>5</v>
      </c>
      <c r="O77" t="s">
        <v>13</v>
      </c>
      <c r="P77">
        <v>7</v>
      </c>
      <c r="Q77" s="4">
        <v>45801</v>
      </c>
      <c r="R77" s="4"/>
      <c r="S77" t="str">
        <f>TEXT(Table1[[#This Row],[Hiring Date]],"mmmm")</f>
        <v>May</v>
      </c>
      <c r="T77" s="1">
        <f>COUNTIF(S:S,Table1[[#This Row],[Months List]])</f>
        <v>0</v>
      </c>
      <c r="U77" t="str">
        <f>TEXT(Table1[[#This Row],[Hiring Date]],"dddd")</f>
        <v>Saturday</v>
      </c>
      <c r="V77" s="1" t="str">
        <f>TEXT(Table1[[#This Row],[Hiring Date]],"yyyy")</f>
        <v>2025</v>
      </c>
    </row>
    <row r="78" spans="1:22">
      <c r="A78" t="s">
        <v>1076</v>
      </c>
      <c r="B78">
        <v>34</v>
      </c>
      <c r="C78">
        <v>790</v>
      </c>
      <c r="D78" t="s">
        <v>11</v>
      </c>
      <c r="E78" t="s">
        <v>1495</v>
      </c>
      <c r="F78" t="s">
        <v>1499</v>
      </c>
      <c r="G78">
        <v>40</v>
      </c>
      <c r="H78">
        <v>2</v>
      </c>
      <c r="I78">
        <v>2</v>
      </c>
      <c r="J78" t="s">
        <v>1474</v>
      </c>
      <c r="K78" t="s">
        <v>1475</v>
      </c>
      <c r="L78">
        <v>2</v>
      </c>
      <c r="M78" t="s">
        <v>12</v>
      </c>
      <c r="N78">
        <v>0</v>
      </c>
      <c r="O78" t="s">
        <v>10</v>
      </c>
      <c r="P78">
        <v>16</v>
      </c>
      <c r="Q78" s="4">
        <v>45958</v>
      </c>
      <c r="R78" s="4"/>
      <c r="S78" t="str">
        <f>TEXT(Table1[[#This Row],[Hiring Date]],"mmmm")</f>
        <v>October</v>
      </c>
      <c r="T78" s="1">
        <f>COUNTIF(S:S,Table1[[#This Row],[Months List]])</f>
        <v>0</v>
      </c>
      <c r="U78" t="str">
        <f>TEXT(Table1[[#This Row],[Hiring Date]],"dddd")</f>
        <v>Tuesday</v>
      </c>
      <c r="V78" s="1" t="str">
        <f>TEXT(Table1[[#This Row],[Hiring Date]],"yyyy")</f>
        <v>2025</v>
      </c>
    </row>
    <row r="79" spans="1:22">
      <c r="A79" t="s">
        <v>114</v>
      </c>
      <c r="B79">
        <v>24</v>
      </c>
      <c r="C79">
        <v>1353</v>
      </c>
      <c r="D79" t="s">
        <v>11</v>
      </c>
      <c r="E79" t="s">
        <v>1500</v>
      </c>
      <c r="F79" t="s">
        <v>1499</v>
      </c>
      <c r="G79">
        <v>33</v>
      </c>
      <c r="H79">
        <v>3</v>
      </c>
      <c r="I79">
        <v>2</v>
      </c>
      <c r="J79" t="s">
        <v>1474</v>
      </c>
      <c r="K79" t="s">
        <v>1475</v>
      </c>
      <c r="L79">
        <v>3</v>
      </c>
      <c r="M79" t="s">
        <v>15</v>
      </c>
      <c r="N79">
        <v>0</v>
      </c>
      <c r="O79" t="s">
        <v>13</v>
      </c>
      <c r="P79">
        <v>4</v>
      </c>
      <c r="Q79" s="4">
        <v>45984</v>
      </c>
      <c r="R79" s="4"/>
      <c r="S79" t="str">
        <f>TEXT(Table1[[#This Row],[Hiring Date]],"mmmm")</f>
        <v>November</v>
      </c>
      <c r="T79" s="1">
        <f>COUNTIF(S:S,Table1[[#This Row],[Months List]])</f>
        <v>0</v>
      </c>
      <c r="U79" t="str">
        <f>TEXT(Table1[[#This Row],[Hiring Date]],"dddd")</f>
        <v>Sunday</v>
      </c>
      <c r="V79" s="1" t="str">
        <f>TEXT(Table1[[#This Row],[Hiring Date]],"yyyy")</f>
        <v>2025</v>
      </c>
    </row>
    <row r="80" spans="1:22">
      <c r="A80" t="s">
        <v>1077</v>
      </c>
      <c r="B80">
        <v>35</v>
      </c>
      <c r="C80">
        <v>660</v>
      </c>
      <c r="D80" t="s">
        <v>11</v>
      </c>
      <c r="E80" t="s">
        <v>1497</v>
      </c>
      <c r="F80" t="s">
        <v>1496</v>
      </c>
      <c r="G80">
        <v>76</v>
      </c>
      <c r="H80">
        <v>3</v>
      </c>
      <c r="I80">
        <v>1</v>
      </c>
      <c r="J80" t="s">
        <v>1489</v>
      </c>
      <c r="K80" t="s">
        <v>1490</v>
      </c>
      <c r="L80">
        <v>3</v>
      </c>
      <c r="M80" t="s">
        <v>15</v>
      </c>
      <c r="N80">
        <v>1</v>
      </c>
      <c r="O80" t="s">
        <v>13</v>
      </c>
      <c r="P80">
        <v>1</v>
      </c>
      <c r="Q80" s="4">
        <v>45753</v>
      </c>
      <c r="R80" s="4"/>
      <c r="S80" t="str">
        <f>TEXT(Table1[[#This Row],[Hiring Date]],"mmmm")</f>
        <v>April</v>
      </c>
      <c r="T80" s="1">
        <f>COUNTIF(S:S,Table1[[#This Row],[Months List]])</f>
        <v>0</v>
      </c>
      <c r="U80" t="str">
        <f>TEXT(Table1[[#This Row],[Hiring Date]],"dddd")</f>
        <v>Sunday</v>
      </c>
      <c r="V80" s="1" t="str">
        <f>TEXT(Table1[[#This Row],[Hiring Date]],"yyyy")</f>
        <v>2025</v>
      </c>
    </row>
    <row r="81" spans="1:22">
      <c r="A81" t="s">
        <v>1078</v>
      </c>
      <c r="B81">
        <v>24</v>
      </c>
      <c r="C81">
        <v>381</v>
      </c>
      <c r="D81" t="s">
        <v>14</v>
      </c>
      <c r="E81" t="s">
        <v>1495</v>
      </c>
      <c r="F81" t="s">
        <v>1496</v>
      </c>
      <c r="G81">
        <v>89</v>
      </c>
      <c r="H81">
        <v>3</v>
      </c>
      <c r="I81">
        <v>1</v>
      </c>
      <c r="J81" t="s">
        <v>1484</v>
      </c>
      <c r="K81" t="s">
        <v>1485</v>
      </c>
      <c r="L81">
        <v>1</v>
      </c>
      <c r="M81" t="s">
        <v>12</v>
      </c>
      <c r="N81">
        <v>2</v>
      </c>
      <c r="O81" t="s">
        <v>10</v>
      </c>
      <c r="P81">
        <v>4</v>
      </c>
      <c r="Q81" s="4">
        <v>45864</v>
      </c>
      <c r="R81" s="4"/>
      <c r="S81" t="str">
        <f>TEXT(Table1[[#This Row],[Hiring Date]],"mmmm")</f>
        <v>July</v>
      </c>
      <c r="T81" s="1">
        <f>COUNTIF(S:S,Table1[[#This Row],[Months List]])</f>
        <v>0</v>
      </c>
      <c r="U81" t="str">
        <f>TEXT(Table1[[#This Row],[Hiring Date]],"dddd")</f>
        <v>Saturday</v>
      </c>
      <c r="V81" s="1" t="str">
        <f>TEXT(Table1[[#This Row],[Hiring Date]],"yyyy")</f>
        <v>2025</v>
      </c>
    </row>
    <row r="82" spans="1:22">
      <c r="A82" t="s">
        <v>1079</v>
      </c>
      <c r="B82">
        <v>24</v>
      </c>
      <c r="C82">
        <v>830</v>
      </c>
      <c r="D82" t="s">
        <v>11</v>
      </c>
      <c r="E82" t="s">
        <v>1497</v>
      </c>
      <c r="F82" t="s">
        <v>1499</v>
      </c>
      <c r="G82">
        <v>78</v>
      </c>
      <c r="H82">
        <v>3</v>
      </c>
      <c r="I82">
        <v>1</v>
      </c>
      <c r="J82" t="s">
        <v>1489</v>
      </c>
      <c r="K82" t="s">
        <v>1490</v>
      </c>
      <c r="L82">
        <v>2</v>
      </c>
      <c r="M82" t="s">
        <v>15</v>
      </c>
      <c r="N82">
        <v>1</v>
      </c>
      <c r="O82" t="s">
        <v>13</v>
      </c>
      <c r="P82">
        <v>1</v>
      </c>
      <c r="Q82" s="4">
        <v>45687</v>
      </c>
      <c r="R82" s="4"/>
      <c r="S82" t="str">
        <f>TEXT(Table1[[#This Row],[Hiring Date]],"mmmm")</f>
        <v>January</v>
      </c>
      <c r="T82" s="1">
        <f>COUNTIF(S:S,Table1[[#This Row],[Months List]])</f>
        <v>0</v>
      </c>
      <c r="U82" t="str">
        <f>TEXT(Table1[[#This Row],[Hiring Date]],"dddd")</f>
        <v>Thursday</v>
      </c>
      <c r="V82" s="1" t="str">
        <f>TEXT(Table1[[#This Row],[Hiring Date]],"yyyy")</f>
        <v>2025</v>
      </c>
    </row>
    <row r="83" spans="1:22">
      <c r="A83" t="s">
        <v>1080</v>
      </c>
      <c r="B83">
        <v>44</v>
      </c>
      <c r="C83">
        <v>1193</v>
      </c>
      <c r="D83" t="s">
        <v>14</v>
      </c>
      <c r="E83" t="s">
        <v>1495</v>
      </c>
      <c r="F83" t="s">
        <v>1496</v>
      </c>
      <c r="G83">
        <v>86</v>
      </c>
      <c r="H83">
        <v>3</v>
      </c>
      <c r="I83">
        <v>3</v>
      </c>
      <c r="J83" t="s">
        <v>1480</v>
      </c>
      <c r="K83" t="s">
        <v>1481</v>
      </c>
      <c r="L83">
        <v>3</v>
      </c>
      <c r="M83" t="s">
        <v>12</v>
      </c>
      <c r="N83">
        <v>5</v>
      </c>
      <c r="O83" t="s">
        <v>10</v>
      </c>
      <c r="P83">
        <v>16</v>
      </c>
      <c r="Q83" s="4">
        <v>45988</v>
      </c>
      <c r="R83" s="4"/>
      <c r="S83" t="str">
        <f>TEXT(Table1[[#This Row],[Hiring Date]],"mmmm")</f>
        <v>November</v>
      </c>
      <c r="T83" s="1">
        <f>COUNTIF(S:S,Table1[[#This Row],[Months List]])</f>
        <v>0</v>
      </c>
      <c r="U83" t="str">
        <f>TEXT(Table1[[#This Row],[Hiring Date]],"dddd")</f>
        <v>Thursday</v>
      </c>
      <c r="V83" s="1" t="str">
        <f>TEXT(Table1[[#This Row],[Hiring Date]],"yyyy")</f>
        <v>2025</v>
      </c>
    </row>
    <row r="84" spans="1:22">
      <c r="A84" t="s">
        <v>1081</v>
      </c>
      <c r="B84">
        <v>29</v>
      </c>
      <c r="C84">
        <v>1246</v>
      </c>
      <c r="D84" t="s">
        <v>11</v>
      </c>
      <c r="E84" t="s">
        <v>1497</v>
      </c>
      <c r="F84" t="s">
        <v>1496</v>
      </c>
      <c r="G84">
        <v>77</v>
      </c>
      <c r="H84">
        <v>2</v>
      </c>
      <c r="I84">
        <v>2</v>
      </c>
      <c r="J84" t="s">
        <v>1474</v>
      </c>
      <c r="K84" t="s">
        <v>1475</v>
      </c>
      <c r="L84">
        <v>3</v>
      </c>
      <c r="M84" t="s">
        <v>16</v>
      </c>
      <c r="N84">
        <v>1</v>
      </c>
      <c r="O84" t="s">
        <v>13</v>
      </c>
      <c r="P84">
        <v>10</v>
      </c>
      <c r="Q84" s="4">
        <v>45974</v>
      </c>
      <c r="R84" s="4"/>
      <c r="S84" t="str">
        <f>TEXT(Table1[[#This Row],[Hiring Date]],"mmmm")</f>
        <v>November</v>
      </c>
      <c r="T84" s="1">
        <f>COUNTIF(S:S,Table1[[#This Row],[Months List]])</f>
        <v>0</v>
      </c>
      <c r="U84" t="str">
        <f>TEXT(Table1[[#This Row],[Hiring Date]],"dddd")</f>
        <v>Thursday</v>
      </c>
      <c r="V84" s="1" t="str">
        <f>TEXT(Table1[[#This Row],[Hiring Date]],"yyyy")</f>
        <v>2025</v>
      </c>
    </row>
    <row r="85" spans="1:22">
      <c r="A85" t="s">
        <v>1082</v>
      </c>
      <c r="B85">
        <v>30</v>
      </c>
      <c r="C85">
        <v>330</v>
      </c>
      <c r="D85" t="s">
        <v>17</v>
      </c>
      <c r="E85" t="s">
        <v>1497</v>
      </c>
      <c r="F85" t="s">
        <v>1496</v>
      </c>
      <c r="G85">
        <v>46</v>
      </c>
      <c r="H85">
        <v>3</v>
      </c>
      <c r="I85">
        <v>1</v>
      </c>
      <c r="J85" t="s">
        <v>1486</v>
      </c>
      <c r="K85" t="s">
        <v>17</v>
      </c>
      <c r="L85">
        <v>3</v>
      </c>
      <c r="M85" t="s">
        <v>16</v>
      </c>
      <c r="N85">
        <v>0</v>
      </c>
      <c r="O85" t="s">
        <v>13</v>
      </c>
      <c r="P85">
        <v>6</v>
      </c>
      <c r="Q85" s="4">
        <v>45639</v>
      </c>
      <c r="R85" s="4"/>
      <c r="S85" t="str">
        <f>TEXT(Table1[[#This Row],[Hiring Date]],"mmmm")</f>
        <v>December</v>
      </c>
      <c r="T85" s="1">
        <f>COUNTIF(S:S,Table1[[#This Row],[Months List]])</f>
        <v>0</v>
      </c>
      <c r="U85" t="str">
        <f>TEXT(Table1[[#This Row],[Hiring Date]],"dddd")</f>
        <v>Friday</v>
      </c>
      <c r="V85" s="1" t="str">
        <f>TEXT(Table1[[#This Row],[Hiring Date]],"yyyy")</f>
        <v>2024</v>
      </c>
    </row>
    <row r="86" spans="1:22">
      <c r="A86" t="s">
        <v>1083</v>
      </c>
      <c r="B86">
        <v>55</v>
      </c>
      <c r="C86">
        <v>1229</v>
      </c>
      <c r="D86" t="s">
        <v>14</v>
      </c>
      <c r="E86" t="s">
        <v>1497</v>
      </c>
      <c r="F86" t="s">
        <v>1496</v>
      </c>
      <c r="G86">
        <v>30</v>
      </c>
      <c r="H86">
        <v>3</v>
      </c>
      <c r="I86">
        <v>2</v>
      </c>
      <c r="J86" t="s">
        <v>1478</v>
      </c>
      <c r="K86" t="s">
        <v>1479</v>
      </c>
      <c r="L86">
        <v>3</v>
      </c>
      <c r="M86" t="s">
        <v>15</v>
      </c>
      <c r="N86">
        <v>0</v>
      </c>
      <c r="O86" t="s">
        <v>10</v>
      </c>
      <c r="P86">
        <v>4</v>
      </c>
      <c r="Q86" s="4">
        <v>45768</v>
      </c>
      <c r="R86" s="4"/>
      <c r="S86" t="str">
        <f>TEXT(Table1[[#This Row],[Hiring Date]],"mmmm")</f>
        <v>April</v>
      </c>
      <c r="T86" s="1">
        <f>COUNTIF(S:S,Table1[[#This Row],[Months List]])</f>
        <v>0</v>
      </c>
      <c r="U86" t="str">
        <f>TEXT(Table1[[#This Row],[Hiring Date]],"dddd")</f>
        <v>Monday</v>
      </c>
      <c r="V86" s="1" t="str">
        <f>TEXT(Table1[[#This Row],[Hiring Date]],"yyyy")</f>
        <v>2025</v>
      </c>
    </row>
    <row r="87" spans="1:22">
      <c r="A87" t="s">
        <v>1084</v>
      </c>
      <c r="B87">
        <v>33</v>
      </c>
      <c r="C87">
        <v>1099</v>
      </c>
      <c r="D87" t="s">
        <v>14</v>
      </c>
      <c r="E87" t="s">
        <v>1495</v>
      </c>
      <c r="F87" t="s">
        <v>1499</v>
      </c>
      <c r="G87">
        <v>82</v>
      </c>
      <c r="H87">
        <v>2</v>
      </c>
      <c r="I87">
        <v>1</v>
      </c>
      <c r="J87" t="s">
        <v>1484</v>
      </c>
      <c r="K87" t="s">
        <v>1485</v>
      </c>
      <c r="L87">
        <v>2</v>
      </c>
      <c r="M87" t="s">
        <v>15</v>
      </c>
      <c r="N87">
        <v>8</v>
      </c>
      <c r="O87" t="s">
        <v>13</v>
      </c>
      <c r="P87">
        <v>8</v>
      </c>
      <c r="Q87" s="4">
        <v>45967</v>
      </c>
      <c r="R87" s="4"/>
      <c r="S87" t="str">
        <f>TEXT(Table1[[#This Row],[Hiring Date]],"mmmm")</f>
        <v>November</v>
      </c>
      <c r="T87" s="1">
        <f>COUNTIF(S:S,Table1[[#This Row],[Months List]])</f>
        <v>0</v>
      </c>
      <c r="U87" t="str">
        <f>TEXT(Table1[[#This Row],[Hiring Date]],"dddd")</f>
        <v>Thursday</v>
      </c>
      <c r="V87" s="1" t="str">
        <f>TEXT(Table1[[#This Row],[Hiring Date]],"yyyy")</f>
        <v>2025</v>
      </c>
    </row>
    <row r="88" spans="1:22">
      <c r="A88" t="s">
        <v>1085</v>
      </c>
      <c r="B88">
        <v>47</v>
      </c>
      <c r="C88">
        <v>571</v>
      </c>
      <c r="D88" t="s">
        <v>11</v>
      </c>
      <c r="E88" t="s">
        <v>1495</v>
      </c>
      <c r="F88" t="s">
        <v>1499</v>
      </c>
      <c r="G88">
        <v>78</v>
      </c>
      <c r="H88">
        <v>3</v>
      </c>
      <c r="I88">
        <v>2</v>
      </c>
      <c r="J88" t="s">
        <v>1474</v>
      </c>
      <c r="K88" t="s">
        <v>1475</v>
      </c>
      <c r="L88">
        <v>3</v>
      </c>
      <c r="M88" t="s">
        <v>15</v>
      </c>
      <c r="N88">
        <v>3</v>
      </c>
      <c r="O88" t="s">
        <v>10</v>
      </c>
      <c r="P88">
        <v>11</v>
      </c>
      <c r="Q88" s="4">
        <v>45762</v>
      </c>
      <c r="R88" s="4"/>
      <c r="S88" t="str">
        <f>TEXT(Table1[[#This Row],[Hiring Date]],"mmmm")</f>
        <v>April</v>
      </c>
      <c r="T88" s="1">
        <f>COUNTIF(S:S,Table1[[#This Row],[Months List]])</f>
        <v>0</v>
      </c>
      <c r="U88" t="str">
        <f>TEXT(Table1[[#This Row],[Hiring Date]],"dddd")</f>
        <v>Tuesday</v>
      </c>
      <c r="V88" s="1" t="str">
        <f>TEXT(Table1[[#This Row],[Hiring Date]],"yyyy")</f>
        <v>2025</v>
      </c>
    </row>
    <row r="89" spans="1:22">
      <c r="A89" t="s">
        <v>1086</v>
      </c>
      <c r="B89">
        <v>28</v>
      </c>
      <c r="C89">
        <v>289</v>
      </c>
      <c r="D89" t="s">
        <v>14</v>
      </c>
      <c r="E89" t="s">
        <v>1495</v>
      </c>
      <c r="F89" t="s">
        <v>1496</v>
      </c>
      <c r="G89">
        <v>38</v>
      </c>
      <c r="H89">
        <v>2</v>
      </c>
      <c r="I89">
        <v>1</v>
      </c>
      <c r="J89" t="s">
        <v>1484</v>
      </c>
      <c r="K89" t="s">
        <v>1485</v>
      </c>
      <c r="L89">
        <v>1</v>
      </c>
      <c r="M89" t="s">
        <v>12</v>
      </c>
      <c r="N89">
        <v>7</v>
      </c>
      <c r="O89" t="s">
        <v>13</v>
      </c>
      <c r="P89">
        <v>8</v>
      </c>
      <c r="Q89" s="4">
        <v>45678</v>
      </c>
      <c r="R89" s="4"/>
      <c r="S89" t="str">
        <f>TEXT(Table1[[#This Row],[Hiring Date]],"mmmm")</f>
        <v>January</v>
      </c>
      <c r="T89" s="1">
        <f>COUNTIF(S:S,Table1[[#This Row],[Months List]])</f>
        <v>0</v>
      </c>
      <c r="U89" t="str">
        <f>TEXT(Table1[[#This Row],[Hiring Date]],"dddd")</f>
        <v>Tuesday</v>
      </c>
      <c r="V89" s="1" t="str">
        <f>TEXT(Table1[[#This Row],[Hiring Date]],"yyyy")</f>
        <v>2025</v>
      </c>
    </row>
    <row r="90" spans="1:22">
      <c r="A90" t="s">
        <v>115</v>
      </c>
      <c r="B90">
        <v>28</v>
      </c>
      <c r="C90">
        <v>120</v>
      </c>
      <c r="D90" t="s">
        <v>11</v>
      </c>
      <c r="E90" t="s">
        <v>1495</v>
      </c>
      <c r="F90" t="s">
        <v>1496</v>
      </c>
      <c r="G90">
        <v>43</v>
      </c>
      <c r="H90">
        <v>3</v>
      </c>
      <c r="I90">
        <v>2</v>
      </c>
      <c r="J90" t="s">
        <v>1474</v>
      </c>
      <c r="K90" t="s">
        <v>1475</v>
      </c>
      <c r="L90">
        <v>3</v>
      </c>
      <c r="M90" t="s">
        <v>15</v>
      </c>
      <c r="N90">
        <v>1</v>
      </c>
      <c r="O90" t="s">
        <v>13</v>
      </c>
      <c r="P90">
        <v>5</v>
      </c>
      <c r="Q90" s="4">
        <v>45849</v>
      </c>
      <c r="R90" s="4"/>
      <c r="S90" t="str">
        <f>TEXT(Table1[[#This Row],[Hiring Date]],"mmmm")</f>
        <v>July</v>
      </c>
      <c r="T90" s="1">
        <f>COUNTIF(S:S,Table1[[#This Row],[Months List]])</f>
        <v>0</v>
      </c>
      <c r="U90" t="str">
        <f>TEXT(Table1[[#This Row],[Hiring Date]],"dddd")</f>
        <v>Friday</v>
      </c>
      <c r="V90" s="1" t="str">
        <f>TEXT(Table1[[#This Row],[Hiring Date]],"yyyy")</f>
        <v>2025</v>
      </c>
    </row>
    <row r="91" spans="1:22">
      <c r="A91" t="s">
        <v>1087</v>
      </c>
      <c r="B91">
        <v>28</v>
      </c>
      <c r="C91">
        <v>1423</v>
      </c>
      <c r="D91" t="s">
        <v>14</v>
      </c>
      <c r="E91" t="s">
        <v>1497</v>
      </c>
      <c r="F91" t="s">
        <v>1496</v>
      </c>
      <c r="G91">
        <v>72</v>
      </c>
      <c r="H91">
        <v>2</v>
      </c>
      <c r="I91">
        <v>1</v>
      </c>
      <c r="J91" t="s">
        <v>1476</v>
      </c>
      <c r="K91" t="s">
        <v>1477</v>
      </c>
      <c r="L91">
        <v>3</v>
      </c>
      <c r="M91" t="s">
        <v>16</v>
      </c>
      <c r="N91">
        <v>1</v>
      </c>
      <c r="O91" t="s">
        <v>13</v>
      </c>
      <c r="P91">
        <v>1</v>
      </c>
      <c r="Q91" s="4">
        <v>45736</v>
      </c>
      <c r="R91" s="4"/>
      <c r="S91" t="str">
        <f>TEXT(Table1[[#This Row],[Hiring Date]],"mmmm")</f>
        <v>March</v>
      </c>
      <c r="T91" s="1">
        <f>COUNTIF(S:S,Table1[[#This Row],[Months List]])</f>
        <v>0</v>
      </c>
      <c r="U91" t="str">
        <f>TEXT(Table1[[#This Row],[Hiring Date]],"dddd")</f>
        <v>Thursday</v>
      </c>
      <c r="V91" s="1" t="str">
        <f>TEXT(Table1[[#This Row],[Hiring Date]],"yyyy")</f>
        <v>2025</v>
      </c>
    </row>
    <row r="92" spans="1:22">
      <c r="A92" t="s">
        <v>1088</v>
      </c>
      <c r="B92">
        <v>28</v>
      </c>
      <c r="C92">
        <v>467</v>
      </c>
      <c r="D92" t="s">
        <v>11</v>
      </c>
      <c r="E92" t="s">
        <v>1497</v>
      </c>
      <c r="F92" t="s">
        <v>1496</v>
      </c>
      <c r="G92">
        <v>55</v>
      </c>
      <c r="H92">
        <v>3</v>
      </c>
      <c r="I92">
        <v>2</v>
      </c>
      <c r="J92" t="s">
        <v>1474</v>
      </c>
      <c r="K92" t="s">
        <v>1475</v>
      </c>
      <c r="L92">
        <v>1</v>
      </c>
      <c r="M92" t="s">
        <v>12</v>
      </c>
      <c r="N92">
        <v>0</v>
      </c>
      <c r="O92" t="s">
        <v>13</v>
      </c>
      <c r="P92">
        <v>5</v>
      </c>
      <c r="Q92" s="4">
        <v>45791</v>
      </c>
      <c r="R92" s="4"/>
      <c r="S92" t="str">
        <f>TEXT(Table1[[#This Row],[Hiring Date]],"mmmm")</f>
        <v>May</v>
      </c>
      <c r="T92" s="1">
        <f>COUNTIF(S:S,Table1[[#This Row],[Months List]])</f>
        <v>0</v>
      </c>
      <c r="U92" t="str">
        <f>TEXT(Table1[[#This Row],[Hiring Date]],"dddd")</f>
        <v>Wednesday</v>
      </c>
      <c r="V92" s="1" t="str">
        <f>TEXT(Table1[[#This Row],[Hiring Date]],"yyyy")</f>
        <v>2025</v>
      </c>
    </row>
    <row r="93" spans="1:22">
      <c r="A93" t="s">
        <v>1089</v>
      </c>
      <c r="B93">
        <v>49</v>
      </c>
      <c r="C93">
        <v>271</v>
      </c>
      <c r="D93" t="s">
        <v>14</v>
      </c>
      <c r="E93" t="s">
        <v>1495</v>
      </c>
      <c r="F93" t="s">
        <v>1499</v>
      </c>
      <c r="G93">
        <v>43</v>
      </c>
      <c r="H93">
        <v>2</v>
      </c>
      <c r="I93">
        <v>2</v>
      </c>
      <c r="J93" t="s">
        <v>1484</v>
      </c>
      <c r="K93" t="s">
        <v>1485</v>
      </c>
      <c r="L93">
        <v>1</v>
      </c>
      <c r="M93" t="s">
        <v>15</v>
      </c>
      <c r="N93">
        <v>4</v>
      </c>
      <c r="O93" t="s">
        <v>13</v>
      </c>
      <c r="P93">
        <v>10</v>
      </c>
      <c r="Q93" s="4">
        <v>45913</v>
      </c>
      <c r="R93" s="4"/>
      <c r="S93" t="str">
        <f>TEXT(Table1[[#This Row],[Hiring Date]],"mmmm")</f>
        <v>September</v>
      </c>
      <c r="T93" s="1">
        <f>COUNTIF(S:S,Table1[[#This Row],[Months List]])</f>
        <v>0</v>
      </c>
      <c r="U93" t="str">
        <f>TEXT(Table1[[#This Row],[Hiring Date]],"dddd")</f>
        <v>Saturday</v>
      </c>
      <c r="V93" s="1" t="str">
        <f>TEXT(Table1[[#This Row],[Hiring Date]],"yyyy")</f>
        <v>2025</v>
      </c>
    </row>
    <row r="94" spans="1:22">
      <c r="A94" t="s">
        <v>1090</v>
      </c>
      <c r="B94">
        <v>29</v>
      </c>
      <c r="C94">
        <v>410</v>
      </c>
      <c r="D94" t="s">
        <v>14</v>
      </c>
      <c r="E94" t="s">
        <v>1497</v>
      </c>
      <c r="F94" t="s">
        <v>1499</v>
      </c>
      <c r="G94">
        <v>97</v>
      </c>
      <c r="H94">
        <v>3</v>
      </c>
      <c r="I94">
        <v>1</v>
      </c>
      <c r="J94" t="s">
        <v>1484</v>
      </c>
      <c r="K94" t="s">
        <v>1485</v>
      </c>
      <c r="L94">
        <v>2</v>
      </c>
      <c r="M94" t="s">
        <v>15</v>
      </c>
      <c r="N94">
        <v>0</v>
      </c>
      <c r="O94" t="s">
        <v>13</v>
      </c>
      <c r="P94">
        <v>4</v>
      </c>
      <c r="Q94" s="4">
        <v>45810</v>
      </c>
      <c r="R94" s="4"/>
      <c r="S94" t="str">
        <f>TEXT(Table1[[#This Row],[Hiring Date]],"mmmm")</f>
        <v>June</v>
      </c>
      <c r="T94" s="1">
        <f>COUNTIF(S:S,Table1[[#This Row],[Months List]])</f>
        <v>0</v>
      </c>
      <c r="U94" t="str">
        <f>TEXT(Table1[[#This Row],[Hiring Date]],"dddd")</f>
        <v>Monday</v>
      </c>
      <c r="V94" s="1" t="str">
        <f>TEXT(Table1[[#This Row],[Hiring Date]],"yyyy")</f>
        <v>2025</v>
      </c>
    </row>
    <row r="95" spans="1:22">
      <c r="A95" t="s">
        <v>1091</v>
      </c>
      <c r="B95">
        <v>28</v>
      </c>
      <c r="C95">
        <v>1083</v>
      </c>
      <c r="D95" t="s">
        <v>14</v>
      </c>
      <c r="E95" t="s">
        <v>1497</v>
      </c>
      <c r="F95" t="s">
        <v>1496</v>
      </c>
      <c r="G95">
        <v>96</v>
      </c>
      <c r="H95">
        <v>1</v>
      </c>
      <c r="I95">
        <v>2</v>
      </c>
      <c r="J95" t="s">
        <v>1480</v>
      </c>
      <c r="K95" t="s">
        <v>1481</v>
      </c>
      <c r="L95">
        <v>2</v>
      </c>
      <c r="M95" t="s">
        <v>15</v>
      </c>
      <c r="N95">
        <v>1</v>
      </c>
      <c r="O95" t="s">
        <v>13</v>
      </c>
      <c r="P95">
        <v>8</v>
      </c>
      <c r="Q95" s="4">
        <v>45792</v>
      </c>
      <c r="R95" s="4"/>
      <c r="S95" t="str">
        <f>TEXT(Table1[[#This Row],[Hiring Date]],"mmmm")</f>
        <v>May</v>
      </c>
      <c r="T95" s="1">
        <f>COUNTIF(S:S,Table1[[#This Row],[Months List]])</f>
        <v>0</v>
      </c>
      <c r="U95" t="str">
        <f>TEXT(Table1[[#This Row],[Hiring Date]],"dddd")</f>
        <v>Thursday</v>
      </c>
      <c r="V95" s="1" t="str">
        <f>TEXT(Table1[[#This Row],[Hiring Date]],"yyyy")</f>
        <v>2025</v>
      </c>
    </row>
    <row r="96" spans="1:22">
      <c r="A96" t="s">
        <v>1092</v>
      </c>
      <c r="B96">
        <v>33</v>
      </c>
      <c r="C96">
        <v>516</v>
      </c>
      <c r="D96" t="s">
        <v>14</v>
      </c>
      <c r="E96" t="s">
        <v>1497</v>
      </c>
      <c r="F96" t="s">
        <v>1496</v>
      </c>
      <c r="G96">
        <v>69</v>
      </c>
      <c r="H96">
        <v>3</v>
      </c>
      <c r="I96">
        <v>2</v>
      </c>
      <c r="J96" t="s">
        <v>1478</v>
      </c>
      <c r="K96" t="s">
        <v>1479</v>
      </c>
      <c r="L96">
        <v>3</v>
      </c>
      <c r="M96" t="s">
        <v>12</v>
      </c>
      <c r="N96">
        <v>2</v>
      </c>
      <c r="O96" t="s">
        <v>10</v>
      </c>
      <c r="P96">
        <v>14</v>
      </c>
      <c r="Q96" s="4">
        <v>45702</v>
      </c>
      <c r="R96" s="4"/>
      <c r="S96" t="str">
        <f>TEXT(Table1[[#This Row],[Hiring Date]],"mmmm")</f>
        <v>February</v>
      </c>
      <c r="T96" s="1">
        <f>COUNTIF(S:S,Table1[[#This Row],[Months List]])</f>
        <v>0</v>
      </c>
      <c r="U96" t="str">
        <f>TEXT(Table1[[#This Row],[Hiring Date]],"dddd")</f>
        <v>Friday</v>
      </c>
      <c r="V96" s="1" t="str">
        <f>TEXT(Table1[[#This Row],[Hiring Date]],"yyyy")</f>
        <v>2025</v>
      </c>
    </row>
    <row r="97" spans="1:22">
      <c r="A97" t="s">
        <v>1093</v>
      </c>
      <c r="B97">
        <v>32</v>
      </c>
      <c r="C97">
        <v>495</v>
      </c>
      <c r="D97" t="s">
        <v>14</v>
      </c>
      <c r="E97" t="s">
        <v>1495</v>
      </c>
      <c r="F97" t="s">
        <v>1496</v>
      </c>
      <c r="G97">
        <v>64</v>
      </c>
      <c r="H97">
        <v>3</v>
      </c>
      <c r="I97">
        <v>3</v>
      </c>
      <c r="J97" t="s">
        <v>1482</v>
      </c>
      <c r="K97" t="s">
        <v>1483</v>
      </c>
      <c r="L97">
        <v>4</v>
      </c>
      <c r="M97" t="s">
        <v>12</v>
      </c>
      <c r="N97">
        <v>2</v>
      </c>
      <c r="O97" t="s">
        <v>13</v>
      </c>
      <c r="P97">
        <v>10</v>
      </c>
      <c r="Q97" s="4">
        <v>45723</v>
      </c>
      <c r="R97" s="4"/>
      <c r="S97" t="str">
        <f>TEXT(Table1[[#This Row],[Hiring Date]],"mmmm")</f>
        <v>March</v>
      </c>
      <c r="T97" s="1">
        <f>COUNTIF(S:S,Table1[[#This Row],[Months List]])</f>
        <v>0</v>
      </c>
      <c r="U97" t="str">
        <f>TEXT(Table1[[#This Row],[Hiring Date]],"dddd")</f>
        <v>Friday</v>
      </c>
      <c r="V97" s="1" t="str">
        <f>TEXT(Table1[[#This Row],[Hiring Date]],"yyyy")</f>
        <v>2025</v>
      </c>
    </row>
    <row r="98" spans="1:22">
      <c r="A98" t="s">
        <v>1094</v>
      </c>
      <c r="B98">
        <v>54</v>
      </c>
      <c r="C98">
        <v>1050</v>
      </c>
      <c r="D98" t="s">
        <v>14</v>
      </c>
      <c r="E98" t="s">
        <v>1495</v>
      </c>
      <c r="F98" t="s">
        <v>1499</v>
      </c>
      <c r="G98">
        <v>87</v>
      </c>
      <c r="H98">
        <v>3</v>
      </c>
      <c r="I98">
        <v>4</v>
      </c>
      <c r="J98" t="s">
        <v>1482</v>
      </c>
      <c r="K98" t="s">
        <v>1483</v>
      </c>
      <c r="L98">
        <v>4</v>
      </c>
      <c r="M98" t="s">
        <v>16</v>
      </c>
      <c r="N98">
        <v>3</v>
      </c>
      <c r="O98" t="s">
        <v>13</v>
      </c>
      <c r="P98">
        <v>26</v>
      </c>
      <c r="Q98" s="4">
        <v>45928</v>
      </c>
      <c r="R98" s="4"/>
      <c r="S98" t="str">
        <f>TEXT(Table1[[#This Row],[Hiring Date]],"mmmm")</f>
        <v>September</v>
      </c>
      <c r="T98" s="1">
        <f>COUNTIF(S:S,Table1[[#This Row],[Months List]])</f>
        <v>0</v>
      </c>
      <c r="U98" t="str">
        <f>TEXT(Table1[[#This Row],[Hiring Date]],"dddd")</f>
        <v>Sunday</v>
      </c>
      <c r="V98" s="1" t="str">
        <f>TEXT(Table1[[#This Row],[Hiring Date]],"yyyy")</f>
        <v>2025</v>
      </c>
    </row>
    <row r="99" spans="1:22">
      <c r="A99" t="s">
        <v>1095</v>
      </c>
      <c r="B99">
        <v>29</v>
      </c>
      <c r="C99">
        <v>224</v>
      </c>
      <c r="D99" t="s">
        <v>14</v>
      </c>
      <c r="E99" t="s">
        <v>1501</v>
      </c>
      <c r="F99" t="s">
        <v>1496</v>
      </c>
      <c r="G99">
        <v>100</v>
      </c>
      <c r="H99">
        <v>2</v>
      </c>
      <c r="I99">
        <v>1</v>
      </c>
      <c r="J99" t="s">
        <v>1476</v>
      </c>
      <c r="K99" t="s">
        <v>1477</v>
      </c>
      <c r="L99">
        <v>1</v>
      </c>
      <c r="M99" t="s">
        <v>12</v>
      </c>
      <c r="N99">
        <v>6</v>
      </c>
      <c r="O99" t="s">
        <v>13</v>
      </c>
      <c r="P99">
        <v>11</v>
      </c>
      <c r="Q99" s="4">
        <v>45779</v>
      </c>
      <c r="R99" s="4"/>
      <c r="S99" t="str">
        <f>TEXT(Table1[[#This Row],[Hiring Date]],"mmmm")</f>
        <v>May</v>
      </c>
      <c r="T99" s="1">
        <f>COUNTIF(S:S,Table1[[#This Row],[Months List]])</f>
        <v>0</v>
      </c>
      <c r="U99" t="str">
        <f>TEXT(Table1[[#This Row],[Hiring Date]],"dddd")</f>
        <v>Friday</v>
      </c>
      <c r="V99" s="1" t="str">
        <f>TEXT(Table1[[#This Row],[Hiring Date]],"yyyy")</f>
        <v>2025</v>
      </c>
    </row>
    <row r="100" spans="1:22">
      <c r="A100" t="s">
        <v>1096</v>
      </c>
      <c r="B100">
        <v>44</v>
      </c>
      <c r="C100">
        <v>136</v>
      </c>
      <c r="D100" t="s">
        <v>14</v>
      </c>
      <c r="E100" t="s">
        <v>1497</v>
      </c>
      <c r="F100" t="s">
        <v>1496</v>
      </c>
      <c r="G100">
        <v>32</v>
      </c>
      <c r="H100">
        <v>3</v>
      </c>
      <c r="I100">
        <v>4</v>
      </c>
      <c r="J100" t="s">
        <v>1487</v>
      </c>
      <c r="K100" t="s">
        <v>1488</v>
      </c>
      <c r="L100">
        <v>1</v>
      </c>
      <c r="M100" t="s">
        <v>15</v>
      </c>
      <c r="N100">
        <v>3</v>
      </c>
      <c r="O100" t="s">
        <v>13</v>
      </c>
      <c r="P100">
        <v>24</v>
      </c>
      <c r="Q100" s="4">
        <v>45756</v>
      </c>
      <c r="R100" s="4"/>
      <c r="S100" t="str">
        <f>TEXT(Table1[[#This Row],[Hiring Date]],"mmmm")</f>
        <v>April</v>
      </c>
      <c r="T100" s="1">
        <f>COUNTIF(S:S,Table1[[#This Row],[Months List]])</f>
        <v>0</v>
      </c>
      <c r="U100" t="str">
        <f>TEXT(Table1[[#This Row],[Hiring Date]],"dddd")</f>
        <v>Wednesday</v>
      </c>
      <c r="V100" s="1" t="str">
        <f>TEXT(Table1[[#This Row],[Hiring Date]],"yyyy")</f>
        <v>2025</v>
      </c>
    </row>
    <row r="101" spans="1:22">
      <c r="A101" t="s">
        <v>116</v>
      </c>
      <c r="B101">
        <v>58</v>
      </c>
      <c r="C101">
        <v>682</v>
      </c>
      <c r="D101" t="s">
        <v>11</v>
      </c>
      <c r="E101" t="s">
        <v>1495</v>
      </c>
      <c r="F101" t="s">
        <v>1496</v>
      </c>
      <c r="G101">
        <v>37</v>
      </c>
      <c r="H101">
        <v>3</v>
      </c>
      <c r="I101">
        <v>4</v>
      </c>
      <c r="J101" t="s">
        <v>1474</v>
      </c>
      <c r="K101" t="s">
        <v>1475</v>
      </c>
      <c r="L101">
        <v>3</v>
      </c>
      <c r="M101" t="s">
        <v>12</v>
      </c>
      <c r="N101">
        <v>0</v>
      </c>
      <c r="O101" t="s">
        <v>13</v>
      </c>
      <c r="P101">
        <v>38</v>
      </c>
      <c r="Q101" s="4">
        <v>45754</v>
      </c>
      <c r="R101" s="4"/>
      <c r="S101" t="str">
        <f>TEXT(Table1[[#This Row],[Hiring Date]],"mmmm")</f>
        <v>April</v>
      </c>
      <c r="T101" s="1">
        <f>COUNTIF(S:S,Table1[[#This Row],[Months List]])</f>
        <v>0</v>
      </c>
      <c r="U101" t="str">
        <f>TEXT(Table1[[#This Row],[Hiring Date]],"dddd")</f>
        <v>Monday</v>
      </c>
      <c r="V101" s="1" t="str">
        <f>TEXT(Table1[[#This Row],[Hiring Date]],"yyyy")</f>
        <v>2025</v>
      </c>
    </row>
    <row r="102" spans="1:22">
      <c r="A102" t="s">
        <v>1097</v>
      </c>
      <c r="B102">
        <v>39</v>
      </c>
      <c r="C102">
        <v>1089</v>
      </c>
      <c r="D102" t="s">
        <v>14</v>
      </c>
      <c r="E102" t="s">
        <v>1497</v>
      </c>
      <c r="F102" t="s">
        <v>1499</v>
      </c>
      <c r="G102">
        <v>32</v>
      </c>
      <c r="H102">
        <v>3</v>
      </c>
      <c r="I102">
        <v>3</v>
      </c>
      <c r="J102" t="s">
        <v>1480</v>
      </c>
      <c r="K102" t="s">
        <v>1481</v>
      </c>
      <c r="L102">
        <v>2</v>
      </c>
      <c r="M102" t="s">
        <v>12</v>
      </c>
      <c r="N102">
        <v>4</v>
      </c>
      <c r="O102" t="s">
        <v>13</v>
      </c>
      <c r="P102">
        <v>9</v>
      </c>
      <c r="Q102" s="4">
        <v>45936</v>
      </c>
      <c r="R102" s="4"/>
      <c r="S102" t="str">
        <f>TEXT(Table1[[#This Row],[Hiring Date]],"mmmm")</f>
        <v>October</v>
      </c>
      <c r="T102" s="1">
        <f>COUNTIF(S:S,Table1[[#This Row],[Months List]])</f>
        <v>0</v>
      </c>
      <c r="U102" t="str">
        <f>TEXT(Table1[[#This Row],[Hiring Date]],"dddd")</f>
        <v>Monday</v>
      </c>
      <c r="V102" s="1" t="str">
        <f>TEXT(Table1[[#This Row],[Hiring Date]],"yyyy")</f>
        <v>2025</v>
      </c>
    </row>
    <row r="103" spans="1:22">
      <c r="A103" t="s">
        <v>1098</v>
      </c>
      <c r="B103">
        <v>46</v>
      </c>
      <c r="C103">
        <v>228</v>
      </c>
      <c r="D103" t="s">
        <v>11</v>
      </c>
      <c r="E103" t="s">
        <v>1497</v>
      </c>
      <c r="F103" t="s">
        <v>1499</v>
      </c>
      <c r="G103">
        <v>51</v>
      </c>
      <c r="H103">
        <v>3</v>
      </c>
      <c r="I103">
        <v>4</v>
      </c>
      <c r="J103" t="s">
        <v>1482</v>
      </c>
      <c r="K103" t="s">
        <v>1483</v>
      </c>
      <c r="L103">
        <v>2</v>
      </c>
      <c r="M103" t="s">
        <v>15</v>
      </c>
      <c r="N103">
        <v>8</v>
      </c>
      <c r="O103" t="s">
        <v>13</v>
      </c>
      <c r="P103">
        <v>23</v>
      </c>
      <c r="Q103" s="4">
        <v>45875</v>
      </c>
      <c r="R103" s="4"/>
      <c r="S103" t="str">
        <f>TEXT(Table1[[#This Row],[Hiring Date]],"mmmm")</f>
        <v>August</v>
      </c>
      <c r="T103" s="1">
        <f>COUNTIF(S:S,Table1[[#This Row],[Months List]])</f>
        <v>0</v>
      </c>
      <c r="U103" t="str">
        <f>TEXT(Table1[[#This Row],[Hiring Date]],"dddd")</f>
        <v>Wednesday</v>
      </c>
      <c r="V103" s="1" t="str">
        <f>TEXT(Table1[[#This Row],[Hiring Date]],"yyyy")</f>
        <v>2025</v>
      </c>
    </row>
    <row r="104" spans="1:22">
      <c r="A104" t="s">
        <v>1099</v>
      </c>
      <c r="B104">
        <v>35</v>
      </c>
      <c r="C104">
        <v>1029</v>
      </c>
      <c r="D104" t="s">
        <v>14</v>
      </c>
      <c r="E104" t="s">
        <v>1497</v>
      </c>
      <c r="F104" t="s">
        <v>1499</v>
      </c>
      <c r="G104">
        <v>91</v>
      </c>
      <c r="H104">
        <v>2</v>
      </c>
      <c r="I104">
        <v>3</v>
      </c>
      <c r="J104" t="s">
        <v>1478</v>
      </c>
      <c r="K104" t="s">
        <v>1479</v>
      </c>
      <c r="L104">
        <v>2</v>
      </c>
      <c r="M104" t="s">
        <v>12</v>
      </c>
      <c r="N104">
        <v>1</v>
      </c>
      <c r="O104" t="s">
        <v>13</v>
      </c>
      <c r="P104">
        <v>11</v>
      </c>
      <c r="Q104" s="4">
        <v>45771</v>
      </c>
      <c r="R104" s="4"/>
      <c r="S104" t="str">
        <f>TEXT(Table1[[#This Row],[Hiring Date]],"mmmm")</f>
        <v>April</v>
      </c>
      <c r="T104" s="1">
        <f>COUNTIF(S:S,Table1[[#This Row],[Months List]])</f>
        <v>0</v>
      </c>
      <c r="U104" t="str">
        <f>TEXT(Table1[[#This Row],[Hiring Date]],"dddd")</f>
        <v>Thursday</v>
      </c>
      <c r="V104" s="1" t="str">
        <f>TEXT(Table1[[#This Row],[Hiring Date]],"yyyy")</f>
        <v>2025</v>
      </c>
    </row>
    <row r="105" spans="1:22">
      <c r="A105" t="s">
        <v>1100</v>
      </c>
      <c r="B105">
        <v>23</v>
      </c>
      <c r="C105">
        <v>507</v>
      </c>
      <c r="D105" t="s">
        <v>14</v>
      </c>
      <c r="E105" t="s">
        <v>1497</v>
      </c>
      <c r="F105" t="s">
        <v>1496</v>
      </c>
      <c r="G105">
        <v>97</v>
      </c>
      <c r="H105">
        <v>3</v>
      </c>
      <c r="I105">
        <v>2</v>
      </c>
      <c r="J105" t="s">
        <v>1484</v>
      </c>
      <c r="K105" t="s">
        <v>1485</v>
      </c>
      <c r="L105">
        <v>3</v>
      </c>
      <c r="M105" t="s">
        <v>12</v>
      </c>
      <c r="N105">
        <v>0</v>
      </c>
      <c r="O105" t="s">
        <v>13</v>
      </c>
      <c r="P105">
        <v>5</v>
      </c>
      <c r="Q105" s="4">
        <v>45959</v>
      </c>
      <c r="R105" s="4"/>
      <c r="S105" t="str">
        <f>TEXT(Table1[[#This Row],[Hiring Date]],"mmmm")</f>
        <v>October</v>
      </c>
      <c r="T105" s="1">
        <f>COUNTIF(S:S,Table1[[#This Row],[Months List]])</f>
        <v>0</v>
      </c>
      <c r="U105" t="str">
        <f>TEXT(Table1[[#This Row],[Hiring Date]],"dddd")</f>
        <v>Wednesday</v>
      </c>
      <c r="V105" s="1" t="str">
        <f>TEXT(Table1[[#This Row],[Hiring Date]],"yyyy")</f>
        <v>2025</v>
      </c>
    </row>
    <row r="106" spans="1:22">
      <c r="A106" t="s">
        <v>1101</v>
      </c>
      <c r="B106">
        <v>40</v>
      </c>
      <c r="C106">
        <v>676</v>
      </c>
      <c r="D106" t="s">
        <v>14</v>
      </c>
      <c r="E106" t="s">
        <v>1497</v>
      </c>
      <c r="F106" t="s">
        <v>1496</v>
      </c>
      <c r="G106">
        <v>86</v>
      </c>
      <c r="H106">
        <v>3</v>
      </c>
      <c r="I106">
        <v>1</v>
      </c>
      <c r="J106" t="s">
        <v>1484</v>
      </c>
      <c r="K106" t="s">
        <v>1485</v>
      </c>
      <c r="L106">
        <v>1</v>
      </c>
      <c r="M106" t="s">
        <v>12</v>
      </c>
      <c r="N106">
        <v>3</v>
      </c>
      <c r="O106" t="s">
        <v>13</v>
      </c>
      <c r="P106">
        <v>15</v>
      </c>
      <c r="Q106" s="4">
        <v>45651</v>
      </c>
      <c r="R106" s="4"/>
      <c r="S106" t="str">
        <f>TEXT(Table1[[#This Row],[Hiring Date]],"mmmm")</f>
        <v>December</v>
      </c>
      <c r="T106" s="1">
        <f>COUNTIF(S:S,Table1[[#This Row],[Months List]])</f>
        <v>0</v>
      </c>
      <c r="U106" t="str">
        <f>TEXT(Table1[[#This Row],[Hiring Date]],"dddd")</f>
        <v>Wednesday</v>
      </c>
      <c r="V106" s="1" t="str">
        <f>TEXT(Table1[[#This Row],[Hiring Date]],"yyyy")</f>
        <v>2024</v>
      </c>
    </row>
    <row r="107" spans="1:22">
      <c r="A107" t="s">
        <v>1102</v>
      </c>
      <c r="B107">
        <v>34</v>
      </c>
      <c r="C107">
        <v>971</v>
      </c>
      <c r="D107" t="s">
        <v>11</v>
      </c>
      <c r="E107" t="s">
        <v>1501</v>
      </c>
      <c r="F107" t="s">
        <v>1496</v>
      </c>
      <c r="G107">
        <v>64</v>
      </c>
      <c r="H107">
        <v>2</v>
      </c>
      <c r="I107">
        <v>3</v>
      </c>
      <c r="J107" t="s">
        <v>1474</v>
      </c>
      <c r="K107" t="s">
        <v>1475</v>
      </c>
      <c r="L107">
        <v>3</v>
      </c>
      <c r="M107" t="s">
        <v>15</v>
      </c>
      <c r="N107">
        <v>1</v>
      </c>
      <c r="O107" t="s">
        <v>10</v>
      </c>
      <c r="P107">
        <v>10</v>
      </c>
      <c r="Q107" s="4">
        <v>45872</v>
      </c>
      <c r="R107" s="4"/>
      <c r="S107" t="str">
        <f>TEXT(Table1[[#This Row],[Hiring Date]],"mmmm")</f>
        <v>August</v>
      </c>
      <c r="T107" s="1">
        <f>COUNTIF(S:S,Table1[[#This Row],[Months List]])</f>
        <v>0</v>
      </c>
      <c r="U107" t="str">
        <f>TEXT(Table1[[#This Row],[Hiring Date]],"dddd")</f>
        <v>Sunday</v>
      </c>
      <c r="V107" s="1" t="str">
        <f>TEXT(Table1[[#This Row],[Hiring Date]],"yyyy")</f>
        <v>2025</v>
      </c>
    </row>
    <row r="108" spans="1:22">
      <c r="A108" t="s">
        <v>1103</v>
      </c>
      <c r="B108">
        <v>31</v>
      </c>
      <c r="C108">
        <v>561</v>
      </c>
      <c r="D108" t="s">
        <v>14</v>
      </c>
      <c r="E108" t="s">
        <v>1497</v>
      </c>
      <c r="F108" t="s">
        <v>1499</v>
      </c>
      <c r="G108">
        <v>33</v>
      </c>
      <c r="H108">
        <v>3</v>
      </c>
      <c r="I108">
        <v>1</v>
      </c>
      <c r="J108" t="s">
        <v>1476</v>
      </c>
      <c r="K108" t="s">
        <v>1477</v>
      </c>
      <c r="L108">
        <v>3</v>
      </c>
      <c r="M108" t="s">
        <v>12</v>
      </c>
      <c r="N108">
        <v>1</v>
      </c>
      <c r="O108" t="s">
        <v>13</v>
      </c>
      <c r="P108">
        <v>7</v>
      </c>
      <c r="Q108" s="4">
        <v>45957</v>
      </c>
      <c r="R108" s="4"/>
      <c r="S108" t="str">
        <f>TEXT(Table1[[#This Row],[Hiring Date]],"mmmm")</f>
        <v>October</v>
      </c>
      <c r="T108" s="1">
        <f>COUNTIF(S:S,Table1[[#This Row],[Months List]])</f>
        <v>0</v>
      </c>
      <c r="U108" t="str">
        <f>TEXT(Table1[[#This Row],[Hiring Date]],"dddd")</f>
        <v>Monday</v>
      </c>
      <c r="V108" s="1" t="str">
        <f>TEXT(Table1[[#This Row],[Hiring Date]],"yyyy")</f>
        <v>2025</v>
      </c>
    </row>
    <row r="109" spans="1:22">
      <c r="A109" t="s">
        <v>1104</v>
      </c>
      <c r="B109">
        <v>50</v>
      </c>
      <c r="C109">
        <v>333</v>
      </c>
      <c r="D109" t="s">
        <v>14</v>
      </c>
      <c r="E109" t="s">
        <v>1495</v>
      </c>
      <c r="F109" t="s">
        <v>1496</v>
      </c>
      <c r="G109">
        <v>88</v>
      </c>
      <c r="H109">
        <v>1</v>
      </c>
      <c r="I109">
        <v>4</v>
      </c>
      <c r="J109" t="s">
        <v>1487</v>
      </c>
      <c r="K109" t="s">
        <v>1488</v>
      </c>
      <c r="L109">
        <v>4</v>
      </c>
      <c r="M109" t="s">
        <v>12</v>
      </c>
      <c r="N109">
        <v>1</v>
      </c>
      <c r="O109" t="s">
        <v>10</v>
      </c>
      <c r="P109">
        <v>32</v>
      </c>
      <c r="Q109" s="4">
        <v>45774</v>
      </c>
      <c r="R109" s="4"/>
      <c r="S109" t="str">
        <f>TEXT(Table1[[#This Row],[Hiring Date]],"mmmm")</f>
        <v>April</v>
      </c>
      <c r="T109" s="1">
        <f>COUNTIF(S:S,Table1[[#This Row],[Months List]])</f>
        <v>0</v>
      </c>
      <c r="U109" t="str">
        <f>TEXT(Table1[[#This Row],[Hiring Date]],"dddd")</f>
        <v>Sunday</v>
      </c>
      <c r="V109" s="1" t="str">
        <f>TEXT(Table1[[#This Row],[Hiring Date]],"yyyy")</f>
        <v>2025</v>
      </c>
    </row>
    <row r="110" spans="1:22">
      <c r="A110" t="s">
        <v>1105</v>
      </c>
      <c r="B110">
        <v>34</v>
      </c>
      <c r="C110">
        <v>1440</v>
      </c>
      <c r="D110" t="s">
        <v>11</v>
      </c>
      <c r="E110" t="s">
        <v>1501</v>
      </c>
      <c r="F110" t="s">
        <v>1496</v>
      </c>
      <c r="G110">
        <v>55</v>
      </c>
      <c r="H110">
        <v>3</v>
      </c>
      <c r="I110">
        <v>1</v>
      </c>
      <c r="J110" t="s">
        <v>1489</v>
      </c>
      <c r="K110" t="s">
        <v>1490</v>
      </c>
      <c r="L110">
        <v>3</v>
      </c>
      <c r="M110" t="s">
        <v>15</v>
      </c>
      <c r="N110">
        <v>0</v>
      </c>
      <c r="O110" t="s">
        <v>10</v>
      </c>
      <c r="P110">
        <v>12</v>
      </c>
      <c r="Q110" s="4">
        <v>45659</v>
      </c>
      <c r="R110" s="4"/>
      <c r="S110" t="str">
        <f>TEXT(Table1[[#This Row],[Hiring Date]],"mmmm")</f>
        <v>January</v>
      </c>
      <c r="T110" s="1">
        <f>COUNTIF(S:S,Table1[[#This Row],[Months List]])</f>
        <v>0</v>
      </c>
      <c r="U110" t="str">
        <f>TEXT(Table1[[#This Row],[Hiring Date]],"dddd")</f>
        <v>Thursday</v>
      </c>
      <c r="V110" s="1" t="str">
        <f>TEXT(Table1[[#This Row],[Hiring Date]],"yyyy")</f>
        <v>2025</v>
      </c>
    </row>
    <row r="111" spans="1:22">
      <c r="A111" t="s">
        <v>1106</v>
      </c>
      <c r="B111">
        <v>42</v>
      </c>
      <c r="C111">
        <v>1210</v>
      </c>
      <c r="D111" t="s">
        <v>14</v>
      </c>
      <c r="E111" t="s">
        <v>1495</v>
      </c>
      <c r="F111" t="s">
        <v>1496</v>
      </c>
      <c r="G111">
        <v>68</v>
      </c>
      <c r="H111">
        <v>2</v>
      </c>
      <c r="I111">
        <v>1</v>
      </c>
      <c r="J111" t="s">
        <v>1484</v>
      </c>
      <c r="K111" t="s">
        <v>1485</v>
      </c>
      <c r="L111">
        <v>2</v>
      </c>
      <c r="M111" t="s">
        <v>15</v>
      </c>
      <c r="N111">
        <v>4</v>
      </c>
      <c r="O111" t="s">
        <v>13</v>
      </c>
      <c r="P111">
        <v>4</v>
      </c>
      <c r="Q111" s="4">
        <v>45777</v>
      </c>
      <c r="R111" s="4"/>
      <c r="S111" t="str">
        <f>TEXT(Table1[[#This Row],[Hiring Date]],"mmmm")</f>
        <v>April</v>
      </c>
      <c r="T111" s="1">
        <f>COUNTIF(S:S,Table1[[#This Row],[Months List]])</f>
        <v>0</v>
      </c>
      <c r="U111" t="str">
        <f>TEXT(Table1[[#This Row],[Hiring Date]],"dddd")</f>
        <v>Wednesday</v>
      </c>
      <c r="V111" s="1" t="str">
        <f>TEXT(Table1[[#This Row],[Hiring Date]],"yyyy")</f>
        <v>2025</v>
      </c>
    </row>
    <row r="112" spans="1:22">
      <c r="A112" t="s">
        <v>18</v>
      </c>
      <c r="B112">
        <v>41</v>
      </c>
      <c r="C112">
        <v>1102</v>
      </c>
      <c r="D112" t="s">
        <v>11</v>
      </c>
      <c r="E112" t="s">
        <v>1497</v>
      </c>
      <c r="F112" t="s">
        <v>1499</v>
      </c>
      <c r="G112">
        <v>94</v>
      </c>
      <c r="H112">
        <v>3</v>
      </c>
      <c r="I112">
        <v>2</v>
      </c>
      <c r="J112" t="s">
        <v>1474</v>
      </c>
      <c r="K112" t="s">
        <v>1475</v>
      </c>
      <c r="L112">
        <v>4</v>
      </c>
      <c r="M112" t="s">
        <v>12</v>
      </c>
      <c r="N112">
        <v>8</v>
      </c>
      <c r="O112" t="s">
        <v>10</v>
      </c>
      <c r="P112">
        <v>8</v>
      </c>
      <c r="Q112" s="4">
        <v>45658</v>
      </c>
      <c r="R112" s="4"/>
      <c r="S112" t="str">
        <f>TEXT(Table1[[#This Row],[Hiring Date]],"mmmm")</f>
        <v>January</v>
      </c>
      <c r="T112" s="1">
        <f>COUNTIF(S:S,Table1[[#This Row],[Months List]])</f>
        <v>0</v>
      </c>
      <c r="U112" t="str">
        <f>TEXT(Table1[[#This Row],[Hiring Date]],"dddd")</f>
        <v>Wednesday</v>
      </c>
      <c r="V112" s="1" t="str">
        <f>TEXT(Table1[[#This Row],[Hiring Date]],"yyyy")</f>
        <v>2025</v>
      </c>
    </row>
    <row r="113" spans="1:22">
      <c r="A113" t="s">
        <v>117</v>
      </c>
      <c r="B113">
        <v>44</v>
      </c>
      <c r="C113">
        <v>489</v>
      </c>
      <c r="D113" t="s">
        <v>14</v>
      </c>
      <c r="E113" t="s">
        <v>1495</v>
      </c>
      <c r="F113" t="s">
        <v>1496</v>
      </c>
      <c r="G113">
        <v>67</v>
      </c>
      <c r="H113">
        <v>3</v>
      </c>
      <c r="I113">
        <v>2</v>
      </c>
      <c r="J113" t="s">
        <v>1484</v>
      </c>
      <c r="K113" t="s">
        <v>1485</v>
      </c>
      <c r="L113">
        <v>2</v>
      </c>
      <c r="M113" t="s">
        <v>15</v>
      </c>
      <c r="N113">
        <v>4</v>
      </c>
      <c r="O113" t="s">
        <v>13</v>
      </c>
      <c r="P113">
        <v>17</v>
      </c>
      <c r="Q113" s="4">
        <v>45796</v>
      </c>
      <c r="R113" s="4"/>
      <c r="S113" t="str">
        <f>TEXT(Table1[[#This Row],[Hiring Date]],"mmmm")</f>
        <v>May</v>
      </c>
      <c r="T113" s="1">
        <f>COUNTIF(S:S,Table1[[#This Row],[Months List]])</f>
        <v>0</v>
      </c>
      <c r="U113" t="str">
        <f>TEXT(Table1[[#This Row],[Hiring Date]],"dddd")</f>
        <v>Monday</v>
      </c>
      <c r="V113" s="1" t="str">
        <f>TEXT(Table1[[#This Row],[Hiring Date]],"yyyy")</f>
        <v>2025</v>
      </c>
    </row>
    <row r="114" spans="1:22">
      <c r="A114" t="s">
        <v>1107</v>
      </c>
      <c r="B114">
        <v>37</v>
      </c>
      <c r="C114">
        <v>674</v>
      </c>
      <c r="D114" t="s">
        <v>14</v>
      </c>
      <c r="E114" t="s">
        <v>1495</v>
      </c>
      <c r="F114" t="s">
        <v>1496</v>
      </c>
      <c r="G114">
        <v>47</v>
      </c>
      <c r="H114">
        <v>3</v>
      </c>
      <c r="I114">
        <v>2</v>
      </c>
      <c r="J114" t="s">
        <v>1476</v>
      </c>
      <c r="K114" t="s">
        <v>1477</v>
      </c>
      <c r="L114">
        <v>4</v>
      </c>
      <c r="M114" t="s">
        <v>15</v>
      </c>
      <c r="N114">
        <v>1</v>
      </c>
      <c r="O114" t="s">
        <v>13</v>
      </c>
      <c r="P114">
        <v>10</v>
      </c>
      <c r="Q114" s="4">
        <v>45820</v>
      </c>
      <c r="R114" s="4"/>
      <c r="S114" t="str">
        <f>TEXT(Table1[[#This Row],[Hiring Date]],"mmmm")</f>
        <v>June</v>
      </c>
      <c r="T114" s="1">
        <f>COUNTIF(S:S,Table1[[#This Row],[Months List]])</f>
        <v>0</v>
      </c>
      <c r="U114" t="str">
        <f>TEXT(Table1[[#This Row],[Hiring Date]],"dddd")</f>
        <v>Thursday</v>
      </c>
      <c r="V114" s="1" t="str">
        <f>TEXT(Table1[[#This Row],[Hiring Date]],"yyyy")</f>
        <v>2025</v>
      </c>
    </row>
    <row r="115" spans="1:22">
      <c r="A115" t="s">
        <v>1108</v>
      </c>
      <c r="B115">
        <v>29</v>
      </c>
      <c r="C115">
        <v>441</v>
      </c>
      <c r="D115" t="s">
        <v>14</v>
      </c>
      <c r="E115" t="s">
        <v>1500</v>
      </c>
      <c r="F115" t="s">
        <v>1499</v>
      </c>
      <c r="G115">
        <v>39</v>
      </c>
      <c r="H115">
        <v>1</v>
      </c>
      <c r="I115">
        <v>2</v>
      </c>
      <c r="J115" t="s">
        <v>1478</v>
      </c>
      <c r="K115" t="s">
        <v>1479</v>
      </c>
      <c r="L115">
        <v>1</v>
      </c>
      <c r="M115" t="s">
        <v>15</v>
      </c>
      <c r="N115">
        <v>3</v>
      </c>
      <c r="O115" t="s">
        <v>13</v>
      </c>
      <c r="P115">
        <v>9</v>
      </c>
      <c r="Q115" s="4">
        <v>45829</v>
      </c>
      <c r="R115" s="4"/>
      <c r="S115" t="str">
        <f>TEXT(Table1[[#This Row],[Hiring Date]],"mmmm")</f>
        <v>June</v>
      </c>
      <c r="T115" s="1">
        <f>COUNTIF(S:S,Table1[[#This Row],[Months List]])</f>
        <v>0</v>
      </c>
      <c r="U115" t="str">
        <f>TEXT(Table1[[#This Row],[Hiring Date]],"dddd")</f>
        <v>Saturday</v>
      </c>
      <c r="V115" s="1" t="str">
        <f>TEXT(Table1[[#This Row],[Hiring Date]],"yyyy")</f>
        <v>2025</v>
      </c>
    </row>
    <row r="116" spans="1:22">
      <c r="A116" t="s">
        <v>1109</v>
      </c>
      <c r="B116">
        <v>33</v>
      </c>
      <c r="C116">
        <v>575</v>
      </c>
      <c r="D116" t="s">
        <v>14</v>
      </c>
      <c r="E116" t="s">
        <v>1497</v>
      </c>
      <c r="F116" t="s">
        <v>1496</v>
      </c>
      <c r="G116">
        <v>44</v>
      </c>
      <c r="H116">
        <v>2</v>
      </c>
      <c r="I116">
        <v>2</v>
      </c>
      <c r="J116" t="s">
        <v>1480</v>
      </c>
      <c r="K116" t="s">
        <v>1481</v>
      </c>
      <c r="L116">
        <v>2</v>
      </c>
      <c r="M116" t="s">
        <v>12</v>
      </c>
      <c r="N116">
        <v>1</v>
      </c>
      <c r="O116" t="s">
        <v>13</v>
      </c>
      <c r="P116">
        <v>5</v>
      </c>
      <c r="Q116" s="4">
        <v>45709</v>
      </c>
      <c r="R116" s="4"/>
      <c r="S116" t="str">
        <f>TEXT(Table1[[#This Row],[Hiring Date]],"mmmm")</f>
        <v>February</v>
      </c>
      <c r="T116" s="1">
        <f>COUNTIF(S:S,Table1[[#This Row],[Months List]])</f>
        <v>0</v>
      </c>
      <c r="U116" t="str">
        <f>TEXT(Table1[[#This Row],[Hiring Date]],"dddd")</f>
        <v>Friday</v>
      </c>
      <c r="V116" s="1" t="str">
        <f>TEXT(Table1[[#This Row],[Hiring Date]],"yyyy")</f>
        <v>2025</v>
      </c>
    </row>
    <row r="117" spans="1:22">
      <c r="A117" t="s">
        <v>1110</v>
      </c>
      <c r="B117">
        <v>45</v>
      </c>
      <c r="C117">
        <v>950</v>
      </c>
      <c r="D117" t="s">
        <v>14</v>
      </c>
      <c r="E117" t="s">
        <v>1501</v>
      </c>
      <c r="F117" t="s">
        <v>1496</v>
      </c>
      <c r="G117">
        <v>97</v>
      </c>
      <c r="H117">
        <v>3</v>
      </c>
      <c r="I117">
        <v>1</v>
      </c>
      <c r="J117" t="s">
        <v>1476</v>
      </c>
      <c r="K117" t="s">
        <v>1477</v>
      </c>
      <c r="L117">
        <v>4</v>
      </c>
      <c r="M117" t="s">
        <v>15</v>
      </c>
      <c r="N117">
        <v>4</v>
      </c>
      <c r="O117" t="s">
        <v>13</v>
      </c>
      <c r="P117">
        <v>8</v>
      </c>
      <c r="Q117" s="4">
        <v>45931</v>
      </c>
      <c r="R117" s="4"/>
      <c r="S117" t="str">
        <f>TEXT(Table1[[#This Row],[Hiring Date]],"mmmm")</f>
        <v>October</v>
      </c>
      <c r="T117" s="1">
        <f>COUNTIF(S:S,Table1[[#This Row],[Months List]])</f>
        <v>0</v>
      </c>
      <c r="U117" t="str">
        <f>TEXT(Table1[[#This Row],[Hiring Date]],"dddd")</f>
        <v>Wednesday</v>
      </c>
      <c r="V117" s="1" t="str">
        <f>TEXT(Table1[[#This Row],[Hiring Date]],"yyyy")</f>
        <v>2025</v>
      </c>
    </row>
    <row r="118" spans="1:22">
      <c r="A118" t="s">
        <v>1111</v>
      </c>
      <c r="B118">
        <v>42</v>
      </c>
      <c r="C118">
        <v>288</v>
      </c>
      <c r="D118" t="s">
        <v>14</v>
      </c>
      <c r="E118" t="s">
        <v>1497</v>
      </c>
      <c r="F118" t="s">
        <v>1496</v>
      </c>
      <c r="G118">
        <v>40</v>
      </c>
      <c r="H118">
        <v>3</v>
      </c>
      <c r="I118">
        <v>3</v>
      </c>
      <c r="J118" t="s">
        <v>1478</v>
      </c>
      <c r="K118" t="s">
        <v>1479</v>
      </c>
      <c r="L118">
        <v>4</v>
      </c>
      <c r="M118" t="s">
        <v>15</v>
      </c>
      <c r="N118">
        <v>2</v>
      </c>
      <c r="O118" t="s">
        <v>10</v>
      </c>
      <c r="P118">
        <v>24</v>
      </c>
      <c r="Q118" s="4">
        <v>45863</v>
      </c>
      <c r="R118" s="4"/>
      <c r="S118" t="str">
        <f>TEXT(Table1[[#This Row],[Hiring Date]],"mmmm")</f>
        <v>July</v>
      </c>
      <c r="T118" s="1">
        <f>COUNTIF(S:S,Table1[[#This Row],[Months List]])</f>
        <v>0</v>
      </c>
      <c r="U118" t="str">
        <f>TEXT(Table1[[#This Row],[Hiring Date]],"dddd")</f>
        <v>Friday</v>
      </c>
      <c r="V118" s="1" t="str">
        <f>TEXT(Table1[[#This Row],[Hiring Date]],"yyyy")</f>
        <v>2025</v>
      </c>
    </row>
    <row r="119" spans="1:22">
      <c r="A119" t="s">
        <v>1112</v>
      </c>
      <c r="B119">
        <v>40</v>
      </c>
      <c r="C119">
        <v>1342</v>
      </c>
      <c r="D119" t="s">
        <v>11</v>
      </c>
      <c r="E119" t="s">
        <v>1495</v>
      </c>
      <c r="F119" t="s">
        <v>1496</v>
      </c>
      <c r="G119">
        <v>47</v>
      </c>
      <c r="H119">
        <v>3</v>
      </c>
      <c r="I119">
        <v>2</v>
      </c>
      <c r="J119" t="s">
        <v>1474</v>
      </c>
      <c r="K119" t="s">
        <v>1475</v>
      </c>
      <c r="L119">
        <v>1</v>
      </c>
      <c r="M119" t="s">
        <v>15</v>
      </c>
      <c r="N119">
        <v>0</v>
      </c>
      <c r="O119" t="s">
        <v>13</v>
      </c>
      <c r="P119">
        <v>9</v>
      </c>
      <c r="Q119" s="4">
        <v>45783</v>
      </c>
      <c r="R119" s="4"/>
      <c r="S119" t="str">
        <f>TEXT(Table1[[#This Row],[Hiring Date]],"mmmm")</f>
        <v>May</v>
      </c>
      <c r="T119" s="1">
        <f>COUNTIF(S:S,Table1[[#This Row],[Months List]])</f>
        <v>0</v>
      </c>
      <c r="U119" t="str">
        <f>TEXT(Table1[[#This Row],[Hiring Date]],"dddd")</f>
        <v>Tuesday</v>
      </c>
      <c r="V119" s="1" t="str">
        <f>TEXT(Table1[[#This Row],[Hiring Date]],"yyyy")</f>
        <v>2025</v>
      </c>
    </row>
    <row r="120" spans="1:22">
      <c r="A120" t="s">
        <v>1113</v>
      </c>
      <c r="B120">
        <v>33</v>
      </c>
      <c r="C120">
        <v>589</v>
      </c>
      <c r="D120" t="s">
        <v>14</v>
      </c>
      <c r="E120" t="s">
        <v>1497</v>
      </c>
      <c r="F120" t="s">
        <v>1496</v>
      </c>
      <c r="G120">
        <v>79</v>
      </c>
      <c r="H120">
        <v>3</v>
      </c>
      <c r="I120">
        <v>2</v>
      </c>
      <c r="J120" t="s">
        <v>1484</v>
      </c>
      <c r="K120" t="s">
        <v>1485</v>
      </c>
      <c r="L120">
        <v>3</v>
      </c>
      <c r="M120" t="s">
        <v>15</v>
      </c>
      <c r="N120">
        <v>1</v>
      </c>
      <c r="O120" t="s">
        <v>10</v>
      </c>
      <c r="P120">
        <v>15</v>
      </c>
      <c r="Q120" s="4">
        <v>45701</v>
      </c>
      <c r="R120" s="4"/>
      <c r="S120" t="str">
        <f>TEXT(Table1[[#This Row],[Hiring Date]],"mmmm")</f>
        <v>February</v>
      </c>
      <c r="T120" s="1">
        <f>COUNTIF(S:S,Table1[[#This Row],[Months List]])</f>
        <v>0</v>
      </c>
      <c r="U120" t="str">
        <f>TEXT(Table1[[#This Row],[Hiring Date]],"dddd")</f>
        <v>Thursday</v>
      </c>
      <c r="V120" s="1" t="str">
        <f>TEXT(Table1[[#This Row],[Hiring Date]],"yyyy")</f>
        <v>2025</v>
      </c>
    </row>
    <row r="121" spans="1:22">
      <c r="A121" t="s">
        <v>1114</v>
      </c>
      <c r="B121">
        <v>40</v>
      </c>
      <c r="C121">
        <v>898</v>
      </c>
      <c r="D121" t="s">
        <v>17</v>
      </c>
      <c r="E121" t="s">
        <v>1495</v>
      </c>
      <c r="F121" t="s">
        <v>1496</v>
      </c>
      <c r="G121">
        <v>38</v>
      </c>
      <c r="H121">
        <v>3</v>
      </c>
      <c r="I121">
        <v>4</v>
      </c>
      <c r="J121" t="s">
        <v>1482</v>
      </c>
      <c r="K121" t="s">
        <v>1483</v>
      </c>
      <c r="L121">
        <v>4</v>
      </c>
      <c r="M121" t="s">
        <v>12</v>
      </c>
      <c r="N121">
        <v>1</v>
      </c>
      <c r="O121" t="s">
        <v>10</v>
      </c>
      <c r="P121">
        <v>21</v>
      </c>
      <c r="Q121" s="4">
        <v>45691</v>
      </c>
      <c r="R121" s="4"/>
      <c r="S121" t="str">
        <f>TEXT(Table1[[#This Row],[Hiring Date]],"mmmm")</f>
        <v>February</v>
      </c>
      <c r="T121" s="1">
        <f>COUNTIF(S:S,Table1[[#This Row],[Months List]])</f>
        <v>0</v>
      </c>
      <c r="U121" t="str">
        <f>TEXT(Table1[[#This Row],[Hiring Date]],"dddd")</f>
        <v>Monday</v>
      </c>
      <c r="V121" s="1" t="str">
        <f>TEXT(Table1[[#This Row],[Hiring Date]],"yyyy")</f>
        <v>2025</v>
      </c>
    </row>
    <row r="122" spans="1:22">
      <c r="A122" t="s">
        <v>1115</v>
      </c>
      <c r="B122">
        <v>24</v>
      </c>
      <c r="C122">
        <v>350</v>
      </c>
      <c r="D122" t="s">
        <v>14</v>
      </c>
      <c r="E122" t="s">
        <v>1501</v>
      </c>
      <c r="F122" t="s">
        <v>1496</v>
      </c>
      <c r="G122">
        <v>57</v>
      </c>
      <c r="H122">
        <v>2</v>
      </c>
      <c r="I122">
        <v>1</v>
      </c>
      <c r="J122" t="s">
        <v>1484</v>
      </c>
      <c r="K122" t="s">
        <v>1485</v>
      </c>
      <c r="L122">
        <v>1</v>
      </c>
      <c r="M122" t="s">
        <v>16</v>
      </c>
      <c r="N122">
        <v>0</v>
      </c>
      <c r="O122" t="s">
        <v>13</v>
      </c>
      <c r="P122">
        <v>2</v>
      </c>
      <c r="Q122" s="4">
        <v>45888</v>
      </c>
      <c r="R122" s="4"/>
      <c r="S122" t="str">
        <f>TEXT(Table1[[#This Row],[Hiring Date]],"mmmm")</f>
        <v>August</v>
      </c>
      <c r="T122" s="1">
        <f>COUNTIF(S:S,Table1[[#This Row],[Months List]])</f>
        <v>0</v>
      </c>
      <c r="U122" t="str">
        <f>TEXT(Table1[[#This Row],[Hiring Date]],"dddd")</f>
        <v>Tuesday</v>
      </c>
      <c r="V122" s="1" t="str">
        <f>TEXT(Table1[[#This Row],[Hiring Date]],"yyyy")</f>
        <v>2025</v>
      </c>
    </row>
    <row r="123" spans="1:22">
      <c r="A123" t="s">
        <v>1116</v>
      </c>
      <c r="B123">
        <v>40</v>
      </c>
      <c r="C123">
        <v>1142</v>
      </c>
      <c r="D123" t="s">
        <v>14</v>
      </c>
      <c r="E123" t="s">
        <v>1497</v>
      </c>
      <c r="F123" t="s">
        <v>1496</v>
      </c>
      <c r="G123">
        <v>72</v>
      </c>
      <c r="H123">
        <v>3</v>
      </c>
      <c r="I123">
        <v>2</v>
      </c>
      <c r="J123" t="s">
        <v>1478</v>
      </c>
      <c r="K123" t="s">
        <v>1479</v>
      </c>
      <c r="L123">
        <v>4</v>
      </c>
      <c r="M123" t="s">
        <v>16</v>
      </c>
      <c r="N123">
        <v>3</v>
      </c>
      <c r="O123" t="s">
        <v>10</v>
      </c>
      <c r="P123">
        <v>8</v>
      </c>
      <c r="Q123" s="4">
        <v>45687</v>
      </c>
      <c r="R123" s="4"/>
      <c r="S123" t="str">
        <f>TEXT(Table1[[#This Row],[Hiring Date]],"mmmm")</f>
        <v>January</v>
      </c>
      <c r="T123" s="1">
        <f>COUNTIF(S:S,Table1[[#This Row],[Months List]])</f>
        <v>0</v>
      </c>
      <c r="U123" t="str">
        <f>TEXT(Table1[[#This Row],[Hiring Date]],"dddd")</f>
        <v>Thursday</v>
      </c>
      <c r="V123" s="1" t="str">
        <f>TEXT(Table1[[#This Row],[Hiring Date]],"yyyy")</f>
        <v>2025</v>
      </c>
    </row>
    <row r="124" spans="1:22">
      <c r="A124" t="s">
        <v>118</v>
      </c>
      <c r="B124">
        <v>37</v>
      </c>
      <c r="C124">
        <v>807</v>
      </c>
      <c r="D124" t="s">
        <v>17</v>
      </c>
      <c r="E124" t="s">
        <v>17</v>
      </c>
      <c r="F124" t="s">
        <v>1496</v>
      </c>
      <c r="G124">
        <v>63</v>
      </c>
      <c r="H124">
        <v>3</v>
      </c>
      <c r="I124">
        <v>1</v>
      </c>
      <c r="J124" t="s">
        <v>1486</v>
      </c>
      <c r="K124" t="s">
        <v>17</v>
      </c>
      <c r="L124">
        <v>1</v>
      </c>
      <c r="M124" t="s">
        <v>16</v>
      </c>
      <c r="N124">
        <v>4</v>
      </c>
      <c r="O124" t="s">
        <v>10</v>
      </c>
      <c r="P124">
        <v>7</v>
      </c>
      <c r="Q124" s="4">
        <v>45921</v>
      </c>
      <c r="R124" s="4"/>
      <c r="S124" t="str">
        <f>TEXT(Table1[[#This Row],[Hiring Date]],"mmmm")</f>
        <v>September</v>
      </c>
      <c r="T124" s="1">
        <f>COUNTIF(S:S,Table1[[#This Row],[Months List]])</f>
        <v>0</v>
      </c>
      <c r="U124" t="str">
        <f>TEXT(Table1[[#This Row],[Hiring Date]],"dddd")</f>
        <v>Sunday</v>
      </c>
      <c r="V124" s="1" t="str">
        <f>TEXT(Table1[[#This Row],[Hiring Date]],"yyyy")</f>
        <v>2025</v>
      </c>
    </row>
    <row r="125" spans="1:22">
      <c r="A125" t="s">
        <v>1117</v>
      </c>
      <c r="B125">
        <v>45</v>
      </c>
      <c r="C125">
        <v>538</v>
      </c>
      <c r="D125" t="s">
        <v>14</v>
      </c>
      <c r="E125" t="s">
        <v>1501</v>
      </c>
      <c r="F125" t="s">
        <v>1496</v>
      </c>
      <c r="G125">
        <v>66</v>
      </c>
      <c r="H125">
        <v>3</v>
      </c>
      <c r="I125">
        <v>3</v>
      </c>
      <c r="J125" t="s">
        <v>1478</v>
      </c>
      <c r="K125" t="s">
        <v>1479</v>
      </c>
      <c r="L125">
        <v>2</v>
      </c>
      <c r="M125" t="s">
        <v>16</v>
      </c>
      <c r="N125">
        <v>1</v>
      </c>
      <c r="O125" t="s">
        <v>13</v>
      </c>
      <c r="P125">
        <v>10</v>
      </c>
      <c r="Q125" s="4">
        <v>45827</v>
      </c>
      <c r="R125" s="4"/>
      <c r="S125" t="str">
        <f>TEXT(Table1[[#This Row],[Hiring Date]],"mmmm")</f>
        <v>June</v>
      </c>
      <c r="T125" s="1">
        <f>COUNTIF(S:S,Table1[[#This Row],[Months List]])</f>
        <v>0</v>
      </c>
      <c r="U125" t="str">
        <f>TEXT(Table1[[#This Row],[Hiring Date]],"dddd")</f>
        <v>Thursday</v>
      </c>
      <c r="V125" s="1" t="str">
        <f>TEXT(Table1[[#This Row],[Hiring Date]],"yyyy")</f>
        <v>2025</v>
      </c>
    </row>
    <row r="126" spans="1:22">
      <c r="A126" t="s">
        <v>1118</v>
      </c>
      <c r="B126">
        <v>35</v>
      </c>
      <c r="C126">
        <v>1402</v>
      </c>
      <c r="D126" t="s">
        <v>11</v>
      </c>
      <c r="E126" t="s">
        <v>1497</v>
      </c>
      <c r="F126" t="s">
        <v>1499</v>
      </c>
      <c r="G126">
        <v>98</v>
      </c>
      <c r="H126">
        <v>2</v>
      </c>
      <c r="I126">
        <v>1</v>
      </c>
      <c r="J126" t="s">
        <v>1489</v>
      </c>
      <c r="K126" t="s">
        <v>1490</v>
      </c>
      <c r="L126">
        <v>3</v>
      </c>
      <c r="M126" t="s">
        <v>15</v>
      </c>
      <c r="N126">
        <v>0</v>
      </c>
      <c r="O126" t="s">
        <v>13</v>
      </c>
      <c r="P126">
        <v>6</v>
      </c>
      <c r="Q126" s="4">
        <v>45902</v>
      </c>
      <c r="R126" s="4"/>
      <c r="S126" t="str">
        <f>TEXT(Table1[[#This Row],[Hiring Date]],"mmmm")</f>
        <v>September</v>
      </c>
      <c r="T126" s="1">
        <f>COUNTIF(S:S,Table1[[#This Row],[Months List]])</f>
        <v>0</v>
      </c>
      <c r="U126" t="str">
        <f>TEXT(Table1[[#This Row],[Hiring Date]],"dddd")</f>
        <v>Tuesday</v>
      </c>
      <c r="V126" s="1" t="str">
        <f>TEXT(Table1[[#This Row],[Hiring Date]],"yyyy")</f>
        <v>2025</v>
      </c>
    </row>
    <row r="127" spans="1:22">
      <c r="A127" t="s">
        <v>1119</v>
      </c>
      <c r="B127">
        <v>32</v>
      </c>
      <c r="C127">
        <v>824</v>
      </c>
      <c r="D127" t="s">
        <v>14</v>
      </c>
      <c r="E127" t="s">
        <v>1497</v>
      </c>
      <c r="F127" t="s">
        <v>1499</v>
      </c>
      <c r="G127">
        <v>67</v>
      </c>
      <c r="H127">
        <v>2</v>
      </c>
      <c r="I127">
        <v>2</v>
      </c>
      <c r="J127" t="s">
        <v>1476</v>
      </c>
      <c r="K127" t="s">
        <v>1477</v>
      </c>
      <c r="L127">
        <v>2</v>
      </c>
      <c r="M127" t="s">
        <v>15</v>
      </c>
      <c r="N127">
        <v>3</v>
      </c>
      <c r="O127" t="s">
        <v>13</v>
      </c>
      <c r="P127">
        <v>12</v>
      </c>
      <c r="Q127" s="4">
        <v>45666</v>
      </c>
      <c r="R127" s="4"/>
      <c r="S127" t="str">
        <f>TEXT(Table1[[#This Row],[Hiring Date]],"mmmm")</f>
        <v>January</v>
      </c>
      <c r="T127" s="1">
        <f>COUNTIF(S:S,Table1[[#This Row],[Months List]])</f>
        <v>0</v>
      </c>
      <c r="U127" t="str">
        <f>TEXT(Table1[[#This Row],[Hiring Date]],"dddd")</f>
        <v>Thursday</v>
      </c>
      <c r="V127" s="1" t="str">
        <f>TEXT(Table1[[#This Row],[Hiring Date]],"yyyy")</f>
        <v>2025</v>
      </c>
    </row>
    <row r="128" spans="1:22">
      <c r="A128" t="s">
        <v>1120</v>
      </c>
      <c r="B128">
        <v>36</v>
      </c>
      <c r="C128">
        <v>1157</v>
      </c>
      <c r="D128" t="s">
        <v>11</v>
      </c>
      <c r="E128" t="s">
        <v>1497</v>
      </c>
      <c r="F128" t="s">
        <v>1496</v>
      </c>
      <c r="G128">
        <v>70</v>
      </c>
      <c r="H128">
        <v>3</v>
      </c>
      <c r="I128">
        <v>1</v>
      </c>
      <c r="J128" t="s">
        <v>1489</v>
      </c>
      <c r="K128" t="s">
        <v>1490</v>
      </c>
      <c r="L128">
        <v>4</v>
      </c>
      <c r="M128" t="s">
        <v>12</v>
      </c>
      <c r="N128">
        <v>3</v>
      </c>
      <c r="O128" t="s">
        <v>10</v>
      </c>
      <c r="P128">
        <v>7</v>
      </c>
      <c r="Q128" s="4">
        <v>45748</v>
      </c>
      <c r="R128" s="4"/>
      <c r="S128" t="str">
        <f>TEXT(Table1[[#This Row],[Hiring Date]],"mmmm")</f>
        <v>April</v>
      </c>
      <c r="T128" s="1">
        <f>COUNTIF(S:S,Table1[[#This Row],[Months List]])</f>
        <v>0</v>
      </c>
      <c r="U128" t="str">
        <f>TEXT(Table1[[#This Row],[Hiring Date]],"dddd")</f>
        <v>Tuesday</v>
      </c>
      <c r="V128" s="1" t="str">
        <f>TEXT(Table1[[#This Row],[Hiring Date]],"yyyy")</f>
        <v>2025</v>
      </c>
    </row>
    <row r="129" spans="1:22">
      <c r="A129" t="s">
        <v>1121</v>
      </c>
      <c r="B129">
        <v>48</v>
      </c>
      <c r="C129">
        <v>492</v>
      </c>
      <c r="D129" t="s">
        <v>11</v>
      </c>
      <c r="E129" t="s">
        <v>1497</v>
      </c>
      <c r="F129" t="s">
        <v>1499</v>
      </c>
      <c r="G129">
        <v>96</v>
      </c>
      <c r="H129">
        <v>3</v>
      </c>
      <c r="I129">
        <v>2</v>
      </c>
      <c r="J129" t="s">
        <v>1474</v>
      </c>
      <c r="K129" t="s">
        <v>1475</v>
      </c>
      <c r="L129">
        <v>3</v>
      </c>
      <c r="M129" t="s">
        <v>16</v>
      </c>
      <c r="N129">
        <v>8</v>
      </c>
      <c r="O129" t="s">
        <v>13</v>
      </c>
      <c r="P129">
        <v>18</v>
      </c>
      <c r="Q129" s="4">
        <v>45692</v>
      </c>
      <c r="R129" s="4"/>
      <c r="S129" t="str">
        <f>TEXT(Table1[[#This Row],[Hiring Date]],"mmmm")</f>
        <v>February</v>
      </c>
      <c r="T129" s="1">
        <f>COUNTIF(S:S,Table1[[#This Row],[Months List]])</f>
        <v>0</v>
      </c>
      <c r="U129" t="str">
        <f>TEXT(Table1[[#This Row],[Hiring Date]],"dddd")</f>
        <v>Tuesday</v>
      </c>
      <c r="V129" s="1" t="str">
        <f>TEXT(Table1[[#This Row],[Hiring Date]],"yyyy")</f>
        <v>2025</v>
      </c>
    </row>
    <row r="130" spans="1:22">
      <c r="A130" t="s">
        <v>1122</v>
      </c>
      <c r="B130">
        <v>29</v>
      </c>
      <c r="C130">
        <v>598</v>
      </c>
      <c r="D130" t="s">
        <v>14</v>
      </c>
      <c r="E130" t="s">
        <v>1497</v>
      </c>
      <c r="F130" t="s">
        <v>1496</v>
      </c>
      <c r="G130">
        <v>91</v>
      </c>
      <c r="H130">
        <v>4</v>
      </c>
      <c r="I130">
        <v>1</v>
      </c>
      <c r="J130" t="s">
        <v>1476</v>
      </c>
      <c r="K130" t="s">
        <v>1477</v>
      </c>
      <c r="L130">
        <v>3</v>
      </c>
      <c r="M130" t="s">
        <v>15</v>
      </c>
      <c r="N130">
        <v>6</v>
      </c>
      <c r="O130" t="s">
        <v>13</v>
      </c>
      <c r="P130">
        <v>5</v>
      </c>
      <c r="Q130" s="4">
        <v>45878</v>
      </c>
      <c r="R130" s="4"/>
      <c r="S130" t="str">
        <f>TEXT(Table1[[#This Row],[Hiring Date]],"mmmm")</f>
        <v>August</v>
      </c>
      <c r="T130" s="1">
        <f>COUNTIF(S:S,Table1[[#This Row],[Months List]])</f>
        <v>0</v>
      </c>
      <c r="U130" t="str">
        <f>TEXT(Table1[[#This Row],[Hiring Date]],"dddd")</f>
        <v>Saturday</v>
      </c>
      <c r="V130" s="1" t="str">
        <f>TEXT(Table1[[#This Row],[Hiring Date]],"yyyy")</f>
        <v>2025</v>
      </c>
    </row>
    <row r="131" spans="1:22">
      <c r="A131" t="s">
        <v>1123</v>
      </c>
      <c r="B131">
        <v>33</v>
      </c>
      <c r="C131">
        <v>1242</v>
      </c>
      <c r="D131" t="s">
        <v>11</v>
      </c>
      <c r="E131" t="s">
        <v>1497</v>
      </c>
      <c r="F131" t="s">
        <v>1496</v>
      </c>
      <c r="G131">
        <v>46</v>
      </c>
      <c r="H131">
        <v>3</v>
      </c>
      <c r="I131">
        <v>2</v>
      </c>
      <c r="J131" t="s">
        <v>1474</v>
      </c>
      <c r="K131" t="s">
        <v>1475</v>
      </c>
      <c r="L131">
        <v>1</v>
      </c>
      <c r="M131" t="s">
        <v>15</v>
      </c>
      <c r="N131">
        <v>2</v>
      </c>
      <c r="O131" t="s">
        <v>13</v>
      </c>
      <c r="P131">
        <v>8</v>
      </c>
      <c r="Q131" s="4">
        <v>45703</v>
      </c>
      <c r="R131" s="4"/>
      <c r="S131" t="str">
        <f>TEXT(Table1[[#This Row],[Hiring Date]],"mmmm")</f>
        <v>February</v>
      </c>
      <c r="T131" s="1">
        <f>COUNTIF(S:S,Table1[[#This Row],[Months List]])</f>
        <v>0</v>
      </c>
      <c r="U131" t="str">
        <f>TEXT(Table1[[#This Row],[Hiring Date]],"dddd")</f>
        <v>Saturday</v>
      </c>
      <c r="V131" s="1" t="str">
        <f>TEXT(Table1[[#This Row],[Hiring Date]],"yyyy")</f>
        <v>2025</v>
      </c>
    </row>
    <row r="132" spans="1:22">
      <c r="A132" t="s">
        <v>1124</v>
      </c>
      <c r="B132">
        <v>30</v>
      </c>
      <c r="C132">
        <v>740</v>
      </c>
      <c r="D132" t="s">
        <v>11</v>
      </c>
      <c r="E132" t="s">
        <v>1497</v>
      </c>
      <c r="F132" t="s">
        <v>1496</v>
      </c>
      <c r="G132">
        <v>64</v>
      </c>
      <c r="H132">
        <v>2</v>
      </c>
      <c r="I132">
        <v>2</v>
      </c>
      <c r="J132" t="s">
        <v>1474</v>
      </c>
      <c r="K132" t="s">
        <v>1475</v>
      </c>
      <c r="L132">
        <v>1</v>
      </c>
      <c r="M132" t="s">
        <v>15</v>
      </c>
      <c r="N132">
        <v>1</v>
      </c>
      <c r="O132" t="s">
        <v>13</v>
      </c>
      <c r="P132">
        <v>10</v>
      </c>
      <c r="Q132" s="4">
        <v>45848</v>
      </c>
      <c r="R132" s="4"/>
      <c r="S132" t="str">
        <f>TEXT(Table1[[#This Row],[Hiring Date]],"mmmm")</f>
        <v>July</v>
      </c>
      <c r="T132" s="1">
        <f>COUNTIF(S:S,Table1[[#This Row],[Months List]])</f>
        <v>0</v>
      </c>
      <c r="U132" t="str">
        <f>TEXT(Table1[[#This Row],[Hiring Date]],"dddd")</f>
        <v>Thursday</v>
      </c>
      <c r="V132" s="1" t="str">
        <f>TEXT(Table1[[#This Row],[Hiring Date]],"yyyy")</f>
        <v>2025</v>
      </c>
    </row>
    <row r="133" spans="1:22">
      <c r="A133" t="s">
        <v>1125</v>
      </c>
      <c r="B133">
        <v>38</v>
      </c>
      <c r="C133">
        <v>888</v>
      </c>
      <c r="D133" t="s">
        <v>17</v>
      </c>
      <c r="E133" t="s">
        <v>17</v>
      </c>
      <c r="F133" t="s">
        <v>1496</v>
      </c>
      <c r="G133">
        <v>71</v>
      </c>
      <c r="H133">
        <v>3</v>
      </c>
      <c r="I133">
        <v>2</v>
      </c>
      <c r="J133" t="s">
        <v>1486</v>
      </c>
      <c r="K133" t="s">
        <v>17</v>
      </c>
      <c r="L133">
        <v>3</v>
      </c>
      <c r="M133" t="s">
        <v>15</v>
      </c>
      <c r="N133">
        <v>3</v>
      </c>
      <c r="O133" t="s">
        <v>13</v>
      </c>
      <c r="P133">
        <v>10</v>
      </c>
      <c r="Q133" s="4">
        <v>45963</v>
      </c>
      <c r="R133" s="4"/>
      <c r="S133" t="str">
        <f>TEXT(Table1[[#This Row],[Hiring Date]],"mmmm")</f>
        <v>November</v>
      </c>
      <c r="T133" s="1">
        <f>COUNTIF(S:S,Table1[[#This Row],[Months List]])</f>
        <v>0</v>
      </c>
      <c r="U133" t="str">
        <f>TEXT(Table1[[#This Row],[Hiring Date]],"dddd")</f>
        <v>Sunday</v>
      </c>
      <c r="V133" s="1" t="str">
        <f>TEXT(Table1[[#This Row],[Hiring Date]],"yyyy")</f>
        <v>2025</v>
      </c>
    </row>
    <row r="134" spans="1:22">
      <c r="A134" t="s">
        <v>1126</v>
      </c>
      <c r="B134">
        <v>35</v>
      </c>
      <c r="C134">
        <v>992</v>
      </c>
      <c r="D134" t="s">
        <v>14</v>
      </c>
      <c r="E134" t="s">
        <v>1495</v>
      </c>
      <c r="F134" t="s">
        <v>1496</v>
      </c>
      <c r="G134">
        <v>68</v>
      </c>
      <c r="H134">
        <v>2</v>
      </c>
      <c r="I134">
        <v>1</v>
      </c>
      <c r="J134" t="s">
        <v>1484</v>
      </c>
      <c r="K134" t="s">
        <v>1485</v>
      </c>
      <c r="L134">
        <v>1</v>
      </c>
      <c r="M134" t="s">
        <v>12</v>
      </c>
      <c r="N134">
        <v>1</v>
      </c>
      <c r="O134" t="s">
        <v>13</v>
      </c>
      <c r="P134">
        <v>3</v>
      </c>
      <c r="Q134" s="4">
        <v>45910</v>
      </c>
      <c r="R134" s="4"/>
      <c r="S134" t="str">
        <f>TEXT(Table1[[#This Row],[Hiring Date]],"mmmm")</f>
        <v>September</v>
      </c>
      <c r="T134" s="1">
        <f>COUNTIF(S:S,Table1[[#This Row],[Months List]])</f>
        <v>0</v>
      </c>
      <c r="U134" t="str">
        <f>TEXT(Table1[[#This Row],[Hiring Date]],"dddd")</f>
        <v>Wednesday</v>
      </c>
      <c r="V134" s="1" t="str">
        <f>TEXT(Table1[[#This Row],[Hiring Date]],"yyyy")</f>
        <v>2025</v>
      </c>
    </row>
    <row r="135" spans="1:22">
      <c r="A135" t="s">
        <v>119</v>
      </c>
      <c r="B135">
        <v>32</v>
      </c>
      <c r="C135">
        <v>827</v>
      </c>
      <c r="D135" t="s">
        <v>14</v>
      </c>
      <c r="E135" t="s">
        <v>1497</v>
      </c>
      <c r="F135" t="s">
        <v>1496</v>
      </c>
      <c r="G135">
        <v>71</v>
      </c>
      <c r="H135">
        <v>3</v>
      </c>
      <c r="I135">
        <v>1</v>
      </c>
      <c r="J135" t="s">
        <v>1476</v>
      </c>
      <c r="K135" t="s">
        <v>1477</v>
      </c>
      <c r="L135">
        <v>1</v>
      </c>
      <c r="M135" t="s">
        <v>12</v>
      </c>
      <c r="N135">
        <v>1</v>
      </c>
      <c r="O135" t="s">
        <v>13</v>
      </c>
      <c r="P135">
        <v>1</v>
      </c>
      <c r="Q135" s="4">
        <v>45958</v>
      </c>
      <c r="R135" s="4"/>
      <c r="S135" t="str">
        <f>TEXT(Table1[[#This Row],[Hiring Date]],"mmmm")</f>
        <v>October</v>
      </c>
      <c r="T135" s="1">
        <f>COUNTIF(S:S,Table1[[#This Row],[Months List]])</f>
        <v>0</v>
      </c>
      <c r="U135" t="str">
        <f>TEXT(Table1[[#This Row],[Hiring Date]],"dddd")</f>
        <v>Tuesday</v>
      </c>
      <c r="V135" s="1" t="str">
        <f>TEXT(Table1[[#This Row],[Hiring Date]],"yyyy")</f>
        <v>2025</v>
      </c>
    </row>
    <row r="136" spans="1:22">
      <c r="A136" t="s">
        <v>1127</v>
      </c>
      <c r="B136">
        <v>30</v>
      </c>
      <c r="C136">
        <v>1288</v>
      </c>
      <c r="D136" t="s">
        <v>11</v>
      </c>
      <c r="E136" t="s">
        <v>1501</v>
      </c>
      <c r="F136" t="s">
        <v>1496</v>
      </c>
      <c r="G136">
        <v>33</v>
      </c>
      <c r="H136">
        <v>3</v>
      </c>
      <c r="I136">
        <v>3</v>
      </c>
      <c r="J136" t="s">
        <v>1474</v>
      </c>
      <c r="K136" t="s">
        <v>1475</v>
      </c>
      <c r="L136">
        <v>2</v>
      </c>
      <c r="M136" t="s">
        <v>15</v>
      </c>
      <c r="N136">
        <v>3</v>
      </c>
      <c r="O136" t="s">
        <v>13</v>
      </c>
      <c r="P136">
        <v>9</v>
      </c>
      <c r="Q136" s="4">
        <v>45799</v>
      </c>
      <c r="R136" s="4"/>
      <c r="S136" t="str">
        <f>TEXT(Table1[[#This Row],[Hiring Date]],"mmmm")</f>
        <v>May</v>
      </c>
      <c r="T136" s="1">
        <f>COUNTIF(S:S,Table1[[#This Row],[Months List]])</f>
        <v>0</v>
      </c>
      <c r="U136" t="str">
        <f>TEXT(Table1[[#This Row],[Hiring Date]],"dddd")</f>
        <v>Thursday</v>
      </c>
      <c r="V136" s="1" t="str">
        <f>TEXT(Table1[[#This Row],[Hiring Date]],"yyyy")</f>
        <v>2025</v>
      </c>
    </row>
    <row r="137" spans="1:22">
      <c r="A137" t="s">
        <v>1128</v>
      </c>
      <c r="B137">
        <v>35</v>
      </c>
      <c r="C137">
        <v>104</v>
      </c>
      <c r="D137" t="s">
        <v>14</v>
      </c>
      <c r="E137" t="s">
        <v>1497</v>
      </c>
      <c r="F137" t="s">
        <v>1499</v>
      </c>
      <c r="G137">
        <v>69</v>
      </c>
      <c r="H137">
        <v>3</v>
      </c>
      <c r="I137">
        <v>1</v>
      </c>
      <c r="J137" t="s">
        <v>1484</v>
      </c>
      <c r="K137" t="s">
        <v>1485</v>
      </c>
      <c r="L137">
        <v>1</v>
      </c>
      <c r="M137" t="s">
        <v>16</v>
      </c>
      <c r="N137">
        <v>1</v>
      </c>
      <c r="O137" t="s">
        <v>10</v>
      </c>
      <c r="P137">
        <v>1</v>
      </c>
      <c r="Q137" s="4">
        <v>45736</v>
      </c>
      <c r="R137" s="4"/>
      <c r="S137" t="str">
        <f>TEXT(Table1[[#This Row],[Hiring Date]],"mmmm")</f>
        <v>March</v>
      </c>
      <c r="T137" s="1">
        <f>COUNTIF(S:S,Table1[[#This Row],[Months List]])</f>
        <v>0</v>
      </c>
      <c r="U137" t="str">
        <f>TEXT(Table1[[#This Row],[Hiring Date]],"dddd")</f>
        <v>Thursday</v>
      </c>
      <c r="V137" s="1" t="str">
        <f>TEXT(Table1[[#This Row],[Hiring Date]],"yyyy")</f>
        <v>2025</v>
      </c>
    </row>
    <row r="138" spans="1:22">
      <c r="A138" t="s">
        <v>1129</v>
      </c>
      <c r="B138">
        <v>53</v>
      </c>
      <c r="C138">
        <v>607</v>
      </c>
      <c r="D138" t="s">
        <v>14</v>
      </c>
      <c r="E138" t="s">
        <v>1501</v>
      </c>
      <c r="F138" t="s">
        <v>1499</v>
      </c>
      <c r="G138">
        <v>78</v>
      </c>
      <c r="H138">
        <v>2</v>
      </c>
      <c r="I138">
        <v>3</v>
      </c>
      <c r="J138" t="s">
        <v>1480</v>
      </c>
      <c r="K138" t="s">
        <v>1481</v>
      </c>
      <c r="L138">
        <v>4</v>
      </c>
      <c r="M138" t="s">
        <v>15</v>
      </c>
      <c r="N138">
        <v>0</v>
      </c>
      <c r="O138" t="s">
        <v>13</v>
      </c>
      <c r="P138">
        <v>34</v>
      </c>
      <c r="Q138" s="4">
        <v>45917</v>
      </c>
      <c r="R138" s="4"/>
      <c r="S138" t="str">
        <f>TEXT(Table1[[#This Row],[Hiring Date]],"mmmm")</f>
        <v>September</v>
      </c>
      <c r="T138" s="1">
        <f>COUNTIF(S:S,Table1[[#This Row],[Months List]])</f>
        <v>0</v>
      </c>
      <c r="U138" t="str">
        <f>TEXT(Table1[[#This Row],[Hiring Date]],"dddd")</f>
        <v>Wednesday</v>
      </c>
      <c r="V138" s="1" t="str">
        <f>TEXT(Table1[[#This Row],[Hiring Date]],"yyyy")</f>
        <v>2025</v>
      </c>
    </row>
    <row r="139" spans="1:22">
      <c r="A139" t="s">
        <v>1130</v>
      </c>
      <c r="B139">
        <v>38</v>
      </c>
      <c r="C139">
        <v>903</v>
      </c>
      <c r="D139" t="s">
        <v>14</v>
      </c>
      <c r="E139" t="s">
        <v>1495</v>
      </c>
      <c r="F139" t="s">
        <v>1496</v>
      </c>
      <c r="G139">
        <v>81</v>
      </c>
      <c r="H139">
        <v>3</v>
      </c>
      <c r="I139">
        <v>2</v>
      </c>
      <c r="J139" t="s">
        <v>1480</v>
      </c>
      <c r="K139" t="s">
        <v>1481</v>
      </c>
      <c r="L139">
        <v>2</v>
      </c>
      <c r="M139" t="s">
        <v>15</v>
      </c>
      <c r="N139">
        <v>4</v>
      </c>
      <c r="O139" t="s">
        <v>13</v>
      </c>
      <c r="P139">
        <v>7</v>
      </c>
      <c r="Q139" s="4">
        <v>45811</v>
      </c>
      <c r="R139" s="4"/>
      <c r="S139" t="str">
        <f>TEXT(Table1[[#This Row],[Hiring Date]],"mmmm")</f>
        <v>June</v>
      </c>
      <c r="T139" s="1">
        <f>COUNTIF(S:S,Table1[[#This Row],[Months List]])</f>
        <v>0</v>
      </c>
      <c r="U139" t="str">
        <f>TEXT(Table1[[#This Row],[Hiring Date]],"dddd")</f>
        <v>Tuesday</v>
      </c>
      <c r="V139" s="1" t="str">
        <f>TEXT(Table1[[#This Row],[Hiring Date]],"yyyy")</f>
        <v>2025</v>
      </c>
    </row>
    <row r="140" spans="1:22">
      <c r="A140" t="s">
        <v>1131</v>
      </c>
      <c r="B140">
        <v>32</v>
      </c>
      <c r="C140">
        <v>1200</v>
      </c>
      <c r="D140" t="s">
        <v>14</v>
      </c>
      <c r="E140" t="s">
        <v>1501</v>
      </c>
      <c r="F140" t="s">
        <v>1496</v>
      </c>
      <c r="G140">
        <v>62</v>
      </c>
      <c r="H140">
        <v>3</v>
      </c>
      <c r="I140">
        <v>2</v>
      </c>
      <c r="J140" t="s">
        <v>1476</v>
      </c>
      <c r="K140" t="s">
        <v>1477</v>
      </c>
      <c r="L140">
        <v>1</v>
      </c>
      <c r="M140" t="s">
        <v>15</v>
      </c>
      <c r="N140">
        <v>4</v>
      </c>
      <c r="O140" t="s">
        <v>13</v>
      </c>
      <c r="P140">
        <v>9</v>
      </c>
      <c r="Q140" s="4">
        <v>45855</v>
      </c>
      <c r="R140" s="4"/>
      <c r="S140" t="str">
        <f>TEXT(Table1[[#This Row],[Hiring Date]],"mmmm")</f>
        <v>July</v>
      </c>
      <c r="T140" s="1">
        <f>COUNTIF(S:S,Table1[[#This Row],[Months List]])</f>
        <v>0</v>
      </c>
      <c r="U140" t="str">
        <f>TEXT(Table1[[#This Row],[Hiring Date]],"dddd")</f>
        <v>Thursday</v>
      </c>
      <c r="V140" s="1" t="str">
        <f>TEXT(Table1[[#This Row],[Hiring Date]],"yyyy")</f>
        <v>2025</v>
      </c>
    </row>
    <row r="141" spans="1:22">
      <c r="A141" t="s">
        <v>1132</v>
      </c>
      <c r="B141">
        <v>48</v>
      </c>
      <c r="C141">
        <v>1108</v>
      </c>
      <c r="D141" t="s">
        <v>14</v>
      </c>
      <c r="E141" t="s">
        <v>1500</v>
      </c>
      <c r="F141" t="s">
        <v>1499</v>
      </c>
      <c r="G141">
        <v>65</v>
      </c>
      <c r="H141">
        <v>3</v>
      </c>
      <c r="I141">
        <v>1</v>
      </c>
      <c r="J141" t="s">
        <v>1476</v>
      </c>
      <c r="K141" t="s">
        <v>1477</v>
      </c>
      <c r="L141">
        <v>1</v>
      </c>
      <c r="M141" t="s">
        <v>15</v>
      </c>
      <c r="N141">
        <v>8</v>
      </c>
      <c r="O141" t="s">
        <v>13</v>
      </c>
      <c r="P141">
        <v>10</v>
      </c>
      <c r="Q141" s="4">
        <v>45942</v>
      </c>
      <c r="R141" s="4"/>
      <c r="S141" t="str">
        <f>TEXT(Table1[[#This Row],[Hiring Date]],"mmmm")</f>
        <v>October</v>
      </c>
      <c r="T141" s="1">
        <f>COUNTIF(S:S,Table1[[#This Row],[Months List]])</f>
        <v>0</v>
      </c>
      <c r="U141" t="str">
        <f>TEXT(Table1[[#This Row],[Hiring Date]],"dddd")</f>
        <v>Sunday</v>
      </c>
      <c r="V141" s="1" t="str">
        <f>TEXT(Table1[[#This Row],[Hiring Date]],"yyyy")</f>
        <v>2025</v>
      </c>
    </row>
    <row r="142" spans="1:22">
      <c r="A142" t="s">
        <v>1133</v>
      </c>
      <c r="B142">
        <v>34</v>
      </c>
      <c r="C142">
        <v>479</v>
      </c>
      <c r="D142" t="s">
        <v>14</v>
      </c>
      <c r="E142" t="s">
        <v>1495</v>
      </c>
      <c r="F142" t="s">
        <v>1496</v>
      </c>
      <c r="G142">
        <v>35</v>
      </c>
      <c r="H142">
        <v>3</v>
      </c>
      <c r="I142">
        <v>1</v>
      </c>
      <c r="J142" t="s">
        <v>1476</v>
      </c>
      <c r="K142" t="s">
        <v>1477</v>
      </c>
      <c r="L142">
        <v>4</v>
      </c>
      <c r="M142" t="s">
        <v>12</v>
      </c>
      <c r="N142">
        <v>1</v>
      </c>
      <c r="O142" t="s">
        <v>13</v>
      </c>
      <c r="P142">
        <v>1</v>
      </c>
      <c r="Q142" s="4">
        <v>45826</v>
      </c>
      <c r="R142" s="4"/>
      <c r="S142" t="str">
        <f>TEXT(Table1[[#This Row],[Hiring Date]],"mmmm")</f>
        <v>June</v>
      </c>
      <c r="T142" s="1">
        <f>COUNTIF(S:S,Table1[[#This Row],[Months List]])</f>
        <v>0</v>
      </c>
      <c r="U142" t="str">
        <f>TEXT(Table1[[#This Row],[Hiring Date]],"dddd")</f>
        <v>Wednesday</v>
      </c>
      <c r="V142" s="1" t="str">
        <f>TEXT(Table1[[#This Row],[Hiring Date]],"yyyy")</f>
        <v>2025</v>
      </c>
    </row>
    <row r="143" spans="1:22">
      <c r="A143" t="s">
        <v>1134</v>
      </c>
      <c r="B143">
        <v>55</v>
      </c>
      <c r="C143">
        <v>685</v>
      </c>
      <c r="D143" t="s">
        <v>11</v>
      </c>
      <c r="E143" t="s">
        <v>1498</v>
      </c>
      <c r="F143" t="s">
        <v>1496</v>
      </c>
      <c r="G143">
        <v>60</v>
      </c>
      <c r="H143">
        <v>2</v>
      </c>
      <c r="I143">
        <v>5</v>
      </c>
      <c r="J143" t="s">
        <v>1482</v>
      </c>
      <c r="K143" t="s">
        <v>1483</v>
      </c>
      <c r="L143">
        <v>4</v>
      </c>
      <c r="M143" t="s">
        <v>15</v>
      </c>
      <c r="N143">
        <v>1</v>
      </c>
      <c r="O143" t="s">
        <v>13</v>
      </c>
      <c r="P143">
        <v>36</v>
      </c>
      <c r="Q143" s="4">
        <v>45906</v>
      </c>
      <c r="R143" s="4"/>
      <c r="S143" t="str">
        <f>TEXT(Table1[[#This Row],[Hiring Date]],"mmmm")</f>
        <v>September</v>
      </c>
      <c r="T143" s="1">
        <f>COUNTIF(S:S,Table1[[#This Row],[Months List]])</f>
        <v>0</v>
      </c>
      <c r="U143" t="str">
        <f>TEXT(Table1[[#This Row],[Hiring Date]],"dddd")</f>
        <v>Saturday</v>
      </c>
      <c r="V143" s="1" t="str">
        <f>TEXT(Table1[[#This Row],[Hiring Date]],"yyyy")</f>
        <v>2025</v>
      </c>
    </row>
    <row r="144" spans="1:22">
      <c r="A144" t="s">
        <v>1135</v>
      </c>
      <c r="B144">
        <v>34</v>
      </c>
      <c r="C144">
        <v>1351</v>
      </c>
      <c r="D144" t="s">
        <v>14</v>
      </c>
      <c r="E144" t="s">
        <v>1497</v>
      </c>
      <c r="F144" t="s">
        <v>1496</v>
      </c>
      <c r="G144">
        <v>45</v>
      </c>
      <c r="H144">
        <v>3</v>
      </c>
      <c r="I144">
        <v>2</v>
      </c>
      <c r="J144" t="s">
        <v>1476</v>
      </c>
      <c r="K144" t="s">
        <v>1477</v>
      </c>
      <c r="L144">
        <v>4</v>
      </c>
      <c r="M144" t="s">
        <v>15</v>
      </c>
      <c r="N144">
        <v>9</v>
      </c>
      <c r="O144" t="s">
        <v>13</v>
      </c>
      <c r="P144">
        <v>9</v>
      </c>
      <c r="Q144" s="4">
        <v>45747</v>
      </c>
      <c r="R144" s="4"/>
      <c r="S144" t="str">
        <f>TEXT(Table1[[#This Row],[Hiring Date]],"mmmm")</f>
        <v>March</v>
      </c>
      <c r="T144" s="1">
        <f>COUNTIF(S:S,Table1[[#This Row],[Months List]])</f>
        <v>0</v>
      </c>
      <c r="U144" t="str">
        <f>TEXT(Table1[[#This Row],[Hiring Date]],"dddd")</f>
        <v>Monday</v>
      </c>
      <c r="V144" s="1" t="str">
        <f>TEXT(Table1[[#This Row],[Hiring Date]],"yyyy")</f>
        <v>2025</v>
      </c>
    </row>
    <row r="145" spans="1:22">
      <c r="A145" t="s">
        <v>1136</v>
      </c>
      <c r="B145">
        <v>26</v>
      </c>
      <c r="C145">
        <v>474</v>
      </c>
      <c r="D145" t="s">
        <v>14</v>
      </c>
      <c r="E145" t="s">
        <v>1497</v>
      </c>
      <c r="F145" t="s">
        <v>1499</v>
      </c>
      <c r="G145">
        <v>89</v>
      </c>
      <c r="H145">
        <v>3</v>
      </c>
      <c r="I145">
        <v>1</v>
      </c>
      <c r="J145" t="s">
        <v>1476</v>
      </c>
      <c r="K145" t="s">
        <v>1477</v>
      </c>
      <c r="L145">
        <v>4</v>
      </c>
      <c r="M145" t="s">
        <v>15</v>
      </c>
      <c r="N145">
        <v>1</v>
      </c>
      <c r="O145" t="s">
        <v>13</v>
      </c>
      <c r="P145">
        <v>1</v>
      </c>
      <c r="Q145" s="4">
        <v>45901</v>
      </c>
      <c r="R145" s="4"/>
      <c r="S145" t="str">
        <f>TEXT(Table1[[#This Row],[Hiring Date]],"mmmm")</f>
        <v>September</v>
      </c>
      <c r="T145" s="1">
        <f>COUNTIF(S:S,Table1[[#This Row],[Months List]])</f>
        <v>0</v>
      </c>
      <c r="U145" t="str">
        <f>TEXT(Table1[[#This Row],[Hiring Date]],"dddd")</f>
        <v>Monday</v>
      </c>
      <c r="V145" s="1" t="str">
        <f>TEXT(Table1[[#This Row],[Hiring Date]],"yyyy")</f>
        <v>2025</v>
      </c>
    </row>
    <row r="146" spans="1:22">
      <c r="A146" t="s">
        <v>120</v>
      </c>
      <c r="B146">
        <v>20</v>
      </c>
      <c r="C146">
        <v>871</v>
      </c>
      <c r="D146" t="s">
        <v>14</v>
      </c>
      <c r="E146" t="s">
        <v>1497</v>
      </c>
      <c r="F146" t="s">
        <v>1499</v>
      </c>
      <c r="G146">
        <v>66</v>
      </c>
      <c r="H146">
        <v>2</v>
      </c>
      <c r="I146">
        <v>1</v>
      </c>
      <c r="J146" t="s">
        <v>1484</v>
      </c>
      <c r="K146" t="s">
        <v>1485</v>
      </c>
      <c r="L146">
        <v>4</v>
      </c>
      <c r="M146" t="s">
        <v>12</v>
      </c>
      <c r="N146">
        <v>1</v>
      </c>
      <c r="O146" t="s">
        <v>10</v>
      </c>
      <c r="P146">
        <v>1</v>
      </c>
      <c r="Q146" s="4">
        <v>45853</v>
      </c>
      <c r="R146" s="4"/>
      <c r="S146" t="str">
        <f>TEXT(Table1[[#This Row],[Hiring Date]],"mmmm")</f>
        <v>July</v>
      </c>
      <c r="T146" s="1">
        <f>COUNTIF(S:S,Table1[[#This Row],[Months List]])</f>
        <v>0</v>
      </c>
      <c r="U146" t="str">
        <f>TEXT(Table1[[#This Row],[Hiring Date]],"dddd")</f>
        <v>Tuesday</v>
      </c>
      <c r="V146" s="1" t="str">
        <f>TEXT(Table1[[#This Row],[Hiring Date]],"yyyy")</f>
        <v>2025</v>
      </c>
    </row>
    <row r="147" spans="1:22">
      <c r="A147" t="s">
        <v>1137</v>
      </c>
      <c r="B147">
        <v>38</v>
      </c>
      <c r="C147">
        <v>1245</v>
      </c>
      <c r="D147" t="s">
        <v>11</v>
      </c>
      <c r="E147" t="s">
        <v>1497</v>
      </c>
      <c r="F147" t="s">
        <v>1496</v>
      </c>
      <c r="G147">
        <v>80</v>
      </c>
      <c r="H147">
        <v>3</v>
      </c>
      <c r="I147">
        <v>2</v>
      </c>
      <c r="J147" t="s">
        <v>1474</v>
      </c>
      <c r="K147" t="s">
        <v>1475</v>
      </c>
      <c r="L147">
        <v>2</v>
      </c>
      <c r="M147" t="s">
        <v>15</v>
      </c>
      <c r="N147">
        <v>0</v>
      </c>
      <c r="O147" t="s">
        <v>13</v>
      </c>
      <c r="P147">
        <v>10</v>
      </c>
      <c r="Q147" s="4">
        <v>45886</v>
      </c>
      <c r="R147" s="4"/>
      <c r="S147" t="str">
        <f>TEXT(Table1[[#This Row],[Hiring Date]],"mmmm")</f>
        <v>August</v>
      </c>
      <c r="T147" s="1">
        <f>COUNTIF(S:S,Table1[[#This Row],[Months List]])</f>
        <v>0</v>
      </c>
      <c r="U147" t="str">
        <f>TEXT(Table1[[#This Row],[Hiring Date]],"dddd")</f>
        <v>Sunday</v>
      </c>
      <c r="V147" s="1" t="str">
        <f>TEXT(Table1[[#This Row],[Hiring Date]],"yyyy")</f>
        <v>2025</v>
      </c>
    </row>
    <row r="148" spans="1:22">
      <c r="A148" t="s">
        <v>1138</v>
      </c>
      <c r="B148">
        <v>38</v>
      </c>
      <c r="C148">
        <v>437</v>
      </c>
      <c r="D148" t="s">
        <v>11</v>
      </c>
      <c r="E148" t="s">
        <v>1497</v>
      </c>
      <c r="F148" t="s">
        <v>1499</v>
      </c>
      <c r="G148">
        <v>90</v>
      </c>
      <c r="H148">
        <v>3</v>
      </c>
      <c r="I148">
        <v>2</v>
      </c>
      <c r="J148" t="s">
        <v>1474</v>
      </c>
      <c r="K148" t="s">
        <v>1475</v>
      </c>
      <c r="L148">
        <v>2</v>
      </c>
      <c r="M148" t="s">
        <v>12</v>
      </c>
      <c r="N148">
        <v>2</v>
      </c>
      <c r="O148" t="s">
        <v>13</v>
      </c>
      <c r="P148">
        <v>8</v>
      </c>
      <c r="Q148" s="4">
        <v>45867</v>
      </c>
      <c r="R148" s="4"/>
      <c r="S148" t="str">
        <f>TEXT(Table1[[#This Row],[Hiring Date]],"mmmm")</f>
        <v>July</v>
      </c>
      <c r="T148" s="1">
        <f>COUNTIF(S:S,Table1[[#This Row],[Months List]])</f>
        <v>0</v>
      </c>
      <c r="U148" t="str">
        <f>TEXT(Table1[[#This Row],[Hiring Date]],"dddd")</f>
        <v>Tuesday</v>
      </c>
      <c r="V148" s="1" t="str">
        <f>TEXT(Table1[[#This Row],[Hiring Date]],"yyyy")</f>
        <v>2025</v>
      </c>
    </row>
    <row r="149" spans="1:22">
      <c r="A149" t="s">
        <v>1139</v>
      </c>
      <c r="B149">
        <v>36</v>
      </c>
      <c r="C149">
        <v>884</v>
      </c>
      <c r="D149" t="s">
        <v>11</v>
      </c>
      <c r="E149" t="s">
        <v>1497</v>
      </c>
      <c r="F149" t="s">
        <v>1499</v>
      </c>
      <c r="G149">
        <v>73</v>
      </c>
      <c r="H149">
        <v>3</v>
      </c>
      <c r="I149">
        <v>2</v>
      </c>
      <c r="J149" t="s">
        <v>1474</v>
      </c>
      <c r="K149" t="s">
        <v>1475</v>
      </c>
      <c r="L149">
        <v>3</v>
      </c>
      <c r="M149" t="s">
        <v>12</v>
      </c>
      <c r="N149">
        <v>6</v>
      </c>
      <c r="O149" t="s">
        <v>13</v>
      </c>
      <c r="P149">
        <v>15</v>
      </c>
      <c r="Q149" s="4">
        <v>45729</v>
      </c>
      <c r="R149" s="4"/>
      <c r="S149" t="str">
        <f>TEXT(Table1[[#This Row],[Hiring Date]],"mmmm")</f>
        <v>March</v>
      </c>
      <c r="T149" s="1">
        <f>COUNTIF(S:S,Table1[[#This Row],[Months List]])</f>
        <v>0</v>
      </c>
      <c r="U149" t="str">
        <f>TEXT(Table1[[#This Row],[Hiring Date]],"dddd")</f>
        <v>Thursday</v>
      </c>
      <c r="V149" s="1" t="str">
        <f>TEXT(Table1[[#This Row],[Hiring Date]],"yyyy")</f>
        <v>2025</v>
      </c>
    </row>
    <row r="150" spans="1:22">
      <c r="A150" t="s">
        <v>1140</v>
      </c>
      <c r="B150">
        <v>29</v>
      </c>
      <c r="C150">
        <v>1370</v>
      </c>
      <c r="D150" t="s">
        <v>14</v>
      </c>
      <c r="E150" t="s">
        <v>1495</v>
      </c>
      <c r="F150" t="s">
        <v>1496</v>
      </c>
      <c r="G150">
        <v>87</v>
      </c>
      <c r="H150">
        <v>3</v>
      </c>
      <c r="I150">
        <v>1</v>
      </c>
      <c r="J150" t="s">
        <v>1484</v>
      </c>
      <c r="K150" t="s">
        <v>1485</v>
      </c>
      <c r="L150">
        <v>1</v>
      </c>
      <c r="M150" t="s">
        <v>12</v>
      </c>
      <c r="N150">
        <v>1</v>
      </c>
      <c r="O150" t="s">
        <v>10</v>
      </c>
      <c r="P150">
        <v>10</v>
      </c>
      <c r="Q150" s="4">
        <v>45758</v>
      </c>
      <c r="R150" s="4"/>
      <c r="S150" t="str">
        <f>TEXT(Table1[[#This Row],[Hiring Date]],"mmmm")</f>
        <v>April</v>
      </c>
      <c r="T150" s="1">
        <f>COUNTIF(S:S,Table1[[#This Row],[Months List]])</f>
        <v>0</v>
      </c>
      <c r="U150" t="str">
        <f>TEXT(Table1[[#This Row],[Hiring Date]],"dddd")</f>
        <v>Friday</v>
      </c>
      <c r="V150" s="1" t="str">
        <f>TEXT(Table1[[#This Row],[Hiring Date]],"yyyy")</f>
        <v>2025</v>
      </c>
    </row>
    <row r="151" spans="1:22">
      <c r="A151" t="s">
        <v>1141</v>
      </c>
      <c r="B151">
        <v>35</v>
      </c>
      <c r="C151">
        <v>670</v>
      </c>
      <c r="D151" t="s">
        <v>14</v>
      </c>
      <c r="E151" t="s">
        <v>1495</v>
      </c>
      <c r="F151" t="s">
        <v>1499</v>
      </c>
      <c r="G151">
        <v>51</v>
      </c>
      <c r="H151">
        <v>3</v>
      </c>
      <c r="I151">
        <v>2</v>
      </c>
      <c r="J151" t="s">
        <v>1478</v>
      </c>
      <c r="K151" t="s">
        <v>1479</v>
      </c>
      <c r="L151">
        <v>3</v>
      </c>
      <c r="M151" t="s">
        <v>12</v>
      </c>
      <c r="N151">
        <v>3</v>
      </c>
      <c r="O151" t="s">
        <v>10</v>
      </c>
      <c r="P151">
        <v>10</v>
      </c>
      <c r="Q151" s="4">
        <v>45644</v>
      </c>
      <c r="R151" s="4"/>
      <c r="S151" t="str">
        <f>TEXT(Table1[[#This Row],[Hiring Date]],"mmmm")</f>
        <v>December</v>
      </c>
      <c r="T151" s="1">
        <f>COUNTIF(S:S,Table1[[#This Row],[Months List]])</f>
        <v>0</v>
      </c>
      <c r="U151" t="str">
        <f>TEXT(Table1[[#This Row],[Hiring Date]],"dddd")</f>
        <v>Wednesday</v>
      </c>
      <c r="V151" s="1" t="str">
        <f>TEXT(Table1[[#This Row],[Hiring Date]],"yyyy")</f>
        <v>2024</v>
      </c>
    </row>
    <row r="152" spans="1:22">
      <c r="A152" t="s">
        <v>1142</v>
      </c>
      <c r="B152">
        <v>39</v>
      </c>
      <c r="C152">
        <v>1462</v>
      </c>
      <c r="D152" t="s">
        <v>11</v>
      </c>
      <c r="E152" t="s">
        <v>1495</v>
      </c>
      <c r="F152" t="s">
        <v>1496</v>
      </c>
      <c r="G152">
        <v>38</v>
      </c>
      <c r="H152">
        <v>4</v>
      </c>
      <c r="I152">
        <v>3</v>
      </c>
      <c r="J152" t="s">
        <v>1474</v>
      </c>
      <c r="K152" t="s">
        <v>1475</v>
      </c>
      <c r="L152">
        <v>3</v>
      </c>
      <c r="M152" t="s">
        <v>15</v>
      </c>
      <c r="N152">
        <v>2</v>
      </c>
      <c r="O152" t="s">
        <v>13</v>
      </c>
      <c r="P152">
        <v>11</v>
      </c>
      <c r="Q152" s="4">
        <v>45976</v>
      </c>
      <c r="R152" s="4"/>
      <c r="S152" t="str">
        <f>TEXT(Table1[[#This Row],[Hiring Date]],"mmmm")</f>
        <v>November</v>
      </c>
      <c r="T152" s="1">
        <f>COUNTIF(S:S,Table1[[#This Row],[Months List]])</f>
        <v>0</v>
      </c>
      <c r="U152" t="str">
        <f>TEXT(Table1[[#This Row],[Hiring Date]],"dddd")</f>
        <v>Saturday</v>
      </c>
      <c r="V152" s="1" t="str">
        <f>TEXT(Table1[[#This Row],[Hiring Date]],"yyyy")</f>
        <v>2025</v>
      </c>
    </row>
    <row r="153" spans="1:22">
      <c r="A153" t="s">
        <v>1143</v>
      </c>
      <c r="B153">
        <v>29</v>
      </c>
      <c r="C153">
        <v>995</v>
      </c>
      <c r="D153" t="s">
        <v>14</v>
      </c>
      <c r="E153" t="s">
        <v>1497</v>
      </c>
      <c r="F153" t="s">
        <v>1496</v>
      </c>
      <c r="G153">
        <v>87</v>
      </c>
      <c r="H153">
        <v>3</v>
      </c>
      <c r="I153">
        <v>2</v>
      </c>
      <c r="J153" t="s">
        <v>1478</v>
      </c>
      <c r="K153" t="s">
        <v>1479</v>
      </c>
      <c r="L153">
        <v>4</v>
      </c>
      <c r="M153" t="s">
        <v>16</v>
      </c>
      <c r="N153">
        <v>1</v>
      </c>
      <c r="O153" t="s">
        <v>13</v>
      </c>
      <c r="P153">
        <v>6</v>
      </c>
      <c r="Q153" s="4">
        <v>45737</v>
      </c>
      <c r="R153" s="4"/>
      <c r="S153" t="str">
        <f>TEXT(Table1[[#This Row],[Hiring Date]],"mmmm")</f>
        <v>March</v>
      </c>
      <c r="T153" s="1">
        <f>COUNTIF(S:S,Table1[[#This Row],[Months List]])</f>
        <v>0</v>
      </c>
      <c r="U153" t="str">
        <f>TEXT(Table1[[#This Row],[Hiring Date]],"dddd")</f>
        <v>Friday</v>
      </c>
      <c r="V153" s="1" t="str">
        <f>TEXT(Table1[[#This Row],[Hiring Date]],"yyyy")</f>
        <v>2025</v>
      </c>
    </row>
    <row r="154" spans="1:22">
      <c r="A154" t="s">
        <v>1144</v>
      </c>
      <c r="B154">
        <v>50</v>
      </c>
      <c r="C154">
        <v>264</v>
      </c>
      <c r="D154" t="s">
        <v>11</v>
      </c>
      <c r="E154" t="s">
        <v>1498</v>
      </c>
      <c r="F154" t="s">
        <v>1496</v>
      </c>
      <c r="G154">
        <v>59</v>
      </c>
      <c r="H154">
        <v>3</v>
      </c>
      <c r="I154">
        <v>5</v>
      </c>
      <c r="J154" t="s">
        <v>1482</v>
      </c>
      <c r="K154" t="s">
        <v>1483</v>
      </c>
      <c r="L154">
        <v>3</v>
      </c>
      <c r="M154" t="s">
        <v>15</v>
      </c>
      <c r="N154">
        <v>4</v>
      </c>
      <c r="O154" t="s">
        <v>10</v>
      </c>
      <c r="P154">
        <v>27</v>
      </c>
      <c r="Q154" s="4">
        <v>45673</v>
      </c>
      <c r="R154" s="4"/>
      <c r="S154" t="str">
        <f>TEXT(Table1[[#This Row],[Hiring Date]],"mmmm")</f>
        <v>January</v>
      </c>
      <c r="T154" s="1">
        <f>COUNTIF(S:S,Table1[[#This Row],[Months List]])</f>
        <v>0</v>
      </c>
      <c r="U154" t="str">
        <f>TEXT(Table1[[#This Row],[Hiring Date]],"dddd")</f>
        <v>Thursday</v>
      </c>
      <c r="V154" s="1" t="str">
        <f>TEXT(Table1[[#This Row],[Hiring Date]],"yyyy")</f>
        <v>2025</v>
      </c>
    </row>
    <row r="155" spans="1:22">
      <c r="A155" t="s">
        <v>1145</v>
      </c>
      <c r="B155">
        <v>23</v>
      </c>
      <c r="C155">
        <v>977</v>
      </c>
      <c r="D155" t="s">
        <v>14</v>
      </c>
      <c r="E155" t="s">
        <v>1501</v>
      </c>
      <c r="F155" t="s">
        <v>1496</v>
      </c>
      <c r="G155">
        <v>45</v>
      </c>
      <c r="H155">
        <v>4</v>
      </c>
      <c r="I155">
        <v>1</v>
      </c>
      <c r="J155" t="s">
        <v>1476</v>
      </c>
      <c r="K155" t="s">
        <v>1477</v>
      </c>
      <c r="L155">
        <v>3</v>
      </c>
      <c r="M155" t="s">
        <v>15</v>
      </c>
      <c r="N155">
        <v>2</v>
      </c>
      <c r="O155" t="s">
        <v>13</v>
      </c>
      <c r="P155">
        <v>4</v>
      </c>
      <c r="Q155" s="4">
        <v>45730</v>
      </c>
      <c r="R155" s="4"/>
      <c r="S155" t="str">
        <f>TEXT(Table1[[#This Row],[Hiring Date]],"mmmm")</f>
        <v>March</v>
      </c>
      <c r="T155" s="1">
        <f>COUNTIF(S:S,Table1[[#This Row],[Months List]])</f>
        <v>0</v>
      </c>
      <c r="U155" t="str">
        <f>TEXT(Table1[[#This Row],[Hiring Date]],"dddd")</f>
        <v>Friday</v>
      </c>
      <c r="V155" s="1" t="str">
        <f>TEXT(Table1[[#This Row],[Hiring Date]],"yyyy")</f>
        <v>2025</v>
      </c>
    </row>
    <row r="156" spans="1:22">
      <c r="A156" t="s">
        <v>1146</v>
      </c>
      <c r="B156">
        <v>36</v>
      </c>
      <c r="C156">
        <v>1302</v>
      </c>
      <c r="D156" t="s">
        <v>14</v>
      </c>
      <c r="E156" t="s">
        <v>1497</v>
      </c>
      <c r="F156" t="s">
        <v>1496</v>
      </c>
      <c r="G156">
        <v>80</v>
      </c>
      <c r="H156">
        <v>4</v>
      </c>
      <c r="I156">
        <v>2</v>
      </c>
      <c r="J156" t="s">
        <v>1484</v>
      </c>
      <c r="K156" t="s">
        <v>1485</v>
      </c>
      <c r="L156">
        <v>1</v>
      </c>
      <c r="M156" t="s">
        <v>15</v>
      </c>
      <c r="N156">
        <v>3</v>
      </c>
      <c r="O156" t="s">
        <v>10</v>
      </c>
      <c r="P156">
        <v>9</v>
      </c>
      <c r="Q156" s="4">
        <v>45881</v>
      </c>
      <c r="R156" s="4"/>
      <c r="S156" t="str">
        <f>TEXT(Table1[[#This Row],[Hiring Date]],"mmmm")</f>
        <v>August</v>
      </c>
      <c r="T156" s="1">
        <f>COUNTIF(S:S,Table1[[#This Row],[Months List]])</f>
        <v>0</v>
      </c>
      <c r="U156" t="str">
        <f>TEXT(Table1[[#This Row],[Hiring Date]],"dddd")</f>
        <v>Tuesday</v>
      </c>
      <c r="V156" s="1" t="str">
        <f>TEXT(Table1[[#This Row],[Hiring Date]],"yyyy")</f>
        <v>2025</v>
      </c>
    </row>
    <row r="157" spans="1:22">
      <c r="A157" t="s">
        <v>121</v>
      </c>
      <c r="B157">
        <v>34</v>
      </c>
      <c r="C157">
        <v>665</v>
      </c>
      <c r="D157" t="s">
        <v>14</v>
      </c>
      <c r="E157" t="s">
        <v>1500</v>
      </c>
      <c r="F157" t="s">
        <v>1499</v>
      </c>
      <c r="G157">
        <v>41</v>
      </c>
      <c r="H157">
        <v>3</v>
      </c>
      <c r="I157">
        <v>2</v>
      </c>
      <c r="J157" t="s">
        <v>1476</v>
      </c>
      <c r="K157" t="s">
        <v>1477</v>
      </c>
      <c r="L157">
        <v>3</v>
      </c>
      <c r="M157" t="s">
        <v>12</v>
      </c>
      <c r="N157">
        <v>1</v>
      </c>
      <c r="O157" t="s">
        <v>13</v>
      </c>
      <c r="P157">
        <v>16</v>
      </c>
      <c r="Q157" s="4">
        <v>45902</v>
      </c>
      <c r="R157" s="4"/>
      <c r="S157" t="str">
        <f>TEXT(Table1[[#This Row],[Hiring Date]],"mmmm")</f>
        <v>September</v>
      </c>
      <c r="T157" s="1">
        <f>COUNTIF(S:S,Table1[[#This Row],[Months List]])</f>
        <v>0</v>
      </c>
      <c r="U157" t="str">
        <f>TEXT(Table1[[#This Row],[Hiring Date]],"dddd")</f>
        <v>Tuesday</v>
      </c>
      <c r="V157" s="1" t="str">
        <f>TEXT(Table1[[#This Row],[Hiring Date]],"yyyy")</f>
        <v>2025</v>
      </c>
    </row>
    <row r="158" spans="1:22">
      <c r="A158" t="s">
        <v>1147</v>
      </c>
      <c r="B158">
        <v>42</v>
      </c>
      <c r="C158">
        <v>1059</v>
      </c>
      <c r="D158" t="s">
        <v>14</v>
      </c>
      <c r="E158" t="s">
        <v>1500</v>
      </c>
      <c r="F158" t="s">
        <v>1496</v>
      </c>
      <c r="G158">
        <v>93</v>
      </c>
      <c r="H158">
        <v>2</v>
      </c>
      <c r="I158">
        <v>5</v>
      </c>
      <c r="J158" t="s">
        <v>1482</v>
      </c>
      <c r="K158" t="s">
        <v>1483</v>
      </c>
      <c r="L158">
        <v>4</v>
      </c>
      <c r="M158" t="s">
        <v>12</v>
      </c>
      <c r="N158">
        <v>8</v>
      </c>
      <c r="O158" t="s">
        <v>13</v>
      </c>
      <c r="P158">
        <v>24</v>
      </c>
      <c r="Q158" s="4">
        <v>45963</v>
      </c>
      <c r="R158" s="4"/>
      <c r="S158" t="str">
        <f>TEXT(Table1[[#This Row],[Hiring Date]],"mmmm")</f>
        <v>November</v>
      </c>
      <c r="T158" s="1">
        <f>COUNTIF(S:S,Table1[[#This Row],[Months List]])</f>
        <v>0</v>
      </c>
      <c r="U158" t="str">
        <f>TEXT(Table1[[#This Row],[Hiring Date]],"dddd")</f>
        <v>Sunday</v>
      </c>
      <c r="V158" s="1" t="str">
        <f>TEXT(Table1[[#This Row],[Hiring Date]],"yyyy")</f>
        <v>2025</v>
      </c>
    </row>
    <row r="159" spans="1:22">
      <c r="A159" t="s">
        <v>1148</v>
      </c>
      <c r="B159">
        <v>35</v>
      </c>
      <c r="C159">
        <v>750</v>
      </c>
      <c r="D159" t="s">
        <v>14</v>
      </c>
      <c r="E159" t="s">
        <v>1497</v>
      </c>
      <c r="F159" t="s">
        <v>1496</v>
      </c>
      <c r="G159">
        <v>46</v>
      </c>
      <c r="H159">
        <v>4</v>
      </c>
      <c r="I159">
        <v>2</v>
      </c>
      <c r="J159" t="s">
        <v>1484</v>
      </c>
      <c r="K159" t="s">
        <v>1485</v>
      </c>
      <c r="L159">
        <v>3</v>
      </c>
      <c r="M159" t="s">
        <v>15</v>
      </c>
      <c r="N159">
        <v>1</v>
      </c>
      <c r="O159" t="s">
        <v>13</v>
      </c>
      <c r="P159">
        <v>10</v>
      </c>
      <c r="Q159" s="4">
        <v>45845</v>
      </c>
      <c r="R159" s="4"/>
      <c r="S159" t="str">
        <f>TEXT(Table1[[#This Row],[Hiring Date]],"mmmm")</f>
        <v>July</v>
      </c>
      <c r="T159" s="1">
        <f>COUNTIF(S:S,Table1[[#This Row],[Months List]])</f>
        <v>0</v>
      </c>
      <c r="U159" t="str">
        <f>TEXT(Table1[[#This Row],[Hiring Date]],"dddd")</f>
        <v>Monday</v>
      </c>
      <c r="V159" s="1" t="str">
        <f>TEXT(Table1[[#This Row],[Hiring Date]],"yyyy")</f>
        <v>2025</v>
      </c>
    </row>
    <row r="160" spans="1:22">
      <c r="A160" t="s">
        <v>1149</v>
      </c>
      <c r="B160">
        <v>34</v>
      </c>
      <c r="C160">
        <v>653</v>
      </c>
      <c r="D160" t="s">
        <v>14</v>
      </c>
      <c r="E160" t="s">
        <v>1501</v>
      </c>
      <c r="F160" t="s">
        <v>1496</v>
      </c>
      <c r="G160">
        <v>92</v>
      </c>
      <c r="H160">
        <v>2</v>
      </c>
      <c r="I160">
        <v>2</v>
      </c>
      <c r="J160" t="s">
        <v>1478</v>
      </c>
      <c r="K160" t="s">
        <v>1479</v>
      </c>
      <c r="L160">
        <v>3</v>
      </c>
      <c r="M160" t="s">
        <v>15</v>
      </c>
      <c r="N160">
        <v>1</v>
      </c>
      <c r="O160" t="s">
        <v>13</v>
      </c>
      <c r="P160">
        <v>8</v>
      </c>
      <c r="Q160" s="4">
        <v>45688</v>
      </c>
      <c r="R160" s="4"/>
      <c r="S160" t="str">
        <f>TEXT(Table1[[#This Row],[Hiring Date]],"mmmm")</f>
        <v>January</v>
      </c>
      <c r="T160" s="1">
        <f>COUNTIF(S:S,Table1[[#This Row],[Months List]])</f>
        <v>0</v>
      </c>
      <c r="U160" t="str">
        <f>TEXT(Table1[[#This Row],[Hiring Date]],"dddd")</f>
        <v>Friday</v>
      </c>
      <c r="V160" s="1" t="str">
        <f>TEXT(Table1[[#This Row],[Hiring Date]],"yyyy")</f>
        <v>2025</v>
      </c>
    </row>
    <row r="161" spans="1:22">
      <c r="A161" t="s">
        <v>1150</v>
      </c>
      <c r="B161">
        <v>40</v>
      </c>
      <c r="C161">
        <v>118</v>
      </c>
      <c r="D161" t="s">
        <v>11</v>
      </c>
      <c r="E161" t="s">
        <v>1497</v>
      </c>
      <c r="F161" t="s">
        <v>1499</v>
      </c>
      <c r="G161">
        <v>84</v>
      </c>
      <c r="H161">
        <v>3</v>
      </c>
      <c r="I161">
        <v>2</v>
      </c>
      <c r="J161" t="s">
        <v>1474</v>
      </c>
      <c r="K161" t="s">
        <v>1475</v>
      </c>
      <c r="L161">
        <v>1</v>
      </c>
      <c r="M161" t="s">
        <v>15</v>
      </c>
      <c r="N161">
        <v>1</v>
      </c>
      <c r="O161" t="s">
        <v>13</v>
      </c>
      <c r="P161">
        <v>5</v>
      </c>
      <c r="Q161" s="4">
        <v>45877</v>
      </c>
      <c r="R161" s="4"/>
      <c r="S161" t="str">
        <f>TEXT(Table1[[#This Row],[Hiring Date]],"mmmm")</f>
        <v>August</v>
      </c>
      <c r="T161" s="1">
        <f>COUNTIF(S:S,Table1[[#This Row],[Months List]])</f>
        <v>0</v>
      </c>
      <c r="U161" t="str">
        <f>TEXT(Table1[[#This Row],[Hiring Date]],"dddd")</f>
        <v>Friday</v>
      </c>
      <c r="V161" s="1" t="str">
        <f>TEXT(Table1[[#This Row],[Hiring Date]],"yyyy")</f>
        <v>2025</v>
      </c>
    </row>
    <row r="162" spans="1:22">
      <c r="A162" t="s">
        <v>1151</v>
      </c>
      <c r="B162">
        <v>43</v>
      </c>
      <c r="C162">
        <v>990</v>
      </c>
      <c r="D162" t="s">
        <v>14</v>
      </c>
      <c r="E162" t="s">
        <v>1501</v>
      </c>
      <c r="F162" t="s">
        <v>1496</v>
      </c>
      <c r="G162">
        <v>87</v>
      </c>
      <c r="H162">
        <v>4</v>
      </c>
      <c r="I162">
        <v>1</v>
      </c>
      <c r="J162" t="s">
        <v>1484</v>
      </c>
      <c r="K162" t="s">
        <v>1485</v>
      </c>
      <c r="L162">
        <v>2</v>
      </c>
      <c r="M162" t="s">
        <v>16</v>
      </c>
      <c r="N162">
        <v>5</v>
      </c>
      <c r="O162" t="s">
        <v>13</v>
      </c>
      <c r="P162">
        <v>8</v>
      </c>
      <c r="Q162" s="4">
        <v>45713</v>
      </c>
      <c r="R162" s="4"/>
      <c r="S162" t="str">
        <f>TEXT(Table1[[#This Row],[Hiring Date]],"mmmm")</f>
        <v>February</v>
      </c>
      <c r="T162" s="1">
        <f>COUNTIF(S:S,Table1[[#This Row],[Months List]])</f>
        <v>0</v>
      </c>
      <c r="U162" t="str">
        <f>TEXT(Table1[[#This Row],[Hiring Date]],"dddd")</f>
        <v>Tuesday</v>
      </c>
      <c r="V162" s="1" t="str">
        <f>TEXT(Table1[[#This Row],[Hiring Date]],"yyyy")</f>
        <v>2025</v>
      </c>
    </row>
    <row r="163" spans="1:22">
      <c r="A163" t="s">
        <v>1152</v>
      </c>
      <c r="B163">
        <v>35</v>
      </c>
      <c r="C163">
        <v>1349</v>
      </c>
      <c r="D163" t="s">
        <v>14</v>
      </c>
      <c r="E163" t="s">
        <v>1497</v>
      </c>
      <c r="F163" t="s">
        <v>1496</v>
      </c>
      <c r="G163">
        <v>63</v>
      </c>
      <c r="H163">
        <v>2</v>
      </c>
      <c r="I163">
        <v>1</v>
      </c>
      <c r="J163" t="s">
        <v>1484</v>
      </c>
      <c r="K163" t="s">
        <v>1485</v>
      </c>
      <c r="L163">
        <v>4</v>
      </c>
      <c r="M163" t="s">
        <v>15</v>
      </c>
      <c r="N163">
        <v>1</v>
      </c>
      <c r="O163" t="s">
        <v>13</v>
      </c>
      <c r="P163">
        <v>1</v>
      </c>
      <c r="Q163" s="4">
        <v>45668</v>
      </c>
      <c r="R163" s="4"/>
      <c r="S163" t="str">
        <f>TEXT(Table1[[#This Row],[Hiring Date]],"mmmm")</f>
        <v>January</v>
      </c>
      <c r="T163" s="1">
        <f>COUNTIF(S:S,Table1[[#This Row],[Months List]])</f>
        <v>0</v>
      </c>
      <c r="U163" t="str">
        <f>TEXT(Table1[[#This Row],[Hiring Date]],"dddd")</f>
        <v>Saturday</v>
      </c>
      <c r="V163" s="1" t="str">
        <f>TEXT(Table1[[#This Row],[Hiring Date]],"yyyy")</f>
        <v>2025</v>
      </c>
    </row>
    <row r="164" spans="1:22">
      <c r="A164" t="s">
        <v>1153</v>
      </c>
      <c r="B164">
        <v>46</v>
      </c>
      <c r="C164">
        <v>563</v>
      </c>
      <c r="D164" t="s">
        <v>11</v>
      </c>
      <c r="E164" t="s">
        <v>1497</v>
      </c>
      <c r="F164" t="s">
        <v>1496</v>
      </c>
      <c r="G164">
        <v>56</v>
      </c>
      <c r="H164">
        <v>4</v>
      </c>
      <c r="I164">
        <v>4</v>
      </c>
      <c r="J164" t="s">
        <v>1482</v>
      </c>
      <c r="K164" t="s">
        <v>1483</v>
      </c>
      <c r="L164">
        <v>1</v>
      </c>
      <c r="M164" t="s">
        <v>12</v>
      </c>
      <c r="N164">
        <v>1</v>
      </c>
      <c r="O164" t="s">
        <v>13</v>
      </c>
      <c r="P164">
        <v>27</v>
      </c>
      <c r="Q164" s="4">
        <v>45783</v>
      </c>
      <c r="R164" s="4"/>
      <c r="S164" t="str">
        <f>TEXT(Table1[[#This Row],[Hiring Date]],"mmmm")</f>
        <v>May</v>
      </c>
      <c r="T164" s="1">
        <f>COUNTIF(S:S,Table1[[#This Row],[Months List]])</f>
        <v>0</v>
      </c>
      <c r="U164" t="str">
        <f>TEXT(Table1[[#This Row],[Hiring Date]],"dddd")</f>
        <v>Tuesday</v>
      </c>
      <c r="V164" s="1" t="str">
        <f>TEXT(Table1[[#This Row],[Hiring Date]],"yyyy")</f>
        <v>2025</v>
      </c>
    </row>
    <row r="165" spans="1:22">
      <c r="A165" t="s">
        <v>1154</v>
      </c>
      <c r="B165">
        <v>28</v>
      </c>
      <c r="C165">
        <v>329</v>
      </c>
      <c r="D165" t="s">
        <v>14</v>
      </c>
      <c r="E165" t="s">
        <v>1495</v>
      </c>
      <c r="F165" t="s">
        <v>1496</v>
      </c>
      <c r="G165">
        <v>51</v>
      </c>
      <c r="H165">
        <v>3</v>
      </c>
      <c r="I165">
        <v>1</v>
      </c>
      <c r="J165" t="s">
        <v>1484</v>
      </c>
      <c r="K165" t="s">
        <v>1485</v>
      </c>
      <c r="L165">
        <v>2</v>
      </c>
      <c r="M165" t="s">
        <v>15</v>
      </c>
      <c r="N165">
        <v>1</v>
      </c>
      <c r="O165" t="s">
        <v>10</v>
      </c>
      <c r="P165">
        <v>1</v>
      </c>
      <c r="Q165" s="4">
        <v>45901</v>
      </c>
      <c r="R165" s="4"/>
      <c r="S165" t="str">
        <f>TEXT(Table1[[#This Row],[Hiring Date]],"mmmm")</f>
        <v>September</v>
      </c>
      <c r="T165" s="1">
        <f>COUNTIF(S:S,Table1[[#This Row],[Months List]])</f>
        <v>0</v>
      </c>
      <c r="U165" t="str">
        <f>TEXT(Table1[[#This Row],[Hiring Date]],"dddd")</f>
        <v>Monday</v>
      </c>
      <c r="V165" s="1" t="str">
        <f>TEXT(Table1[[#This Row],[Hiring Date]],"yyyy")</f>
        <v>2025</v>
      </c>
    </row>
    <row r="166" spans="1:22">
      <c r="A166" t="s">
        <v>1155</v>
      </c>
      <c r="B166">
        <v>22</v>
      </c>
      <c r="C166">
        <v>457</v>
      </c>
      <c r="D166" t="s">
        <v>14</v>
      </c>
      <c r="E166" t="s">
        <v>1500</v>
      </c>
      <c r="F166" t="s">
        <v>1499</v>
      </c>
      <c r="G166">
        <v>85</v>
      </c>
      <c r="H166">
        <v>2</v>
      </c>
      <c r="I166">
        <v>1</v>
      </c>
      <c r="J166" t="s">
        <v>1476</v>
      </c>
      <c r="K166" t="s">
        <v>1477</v>
      </c>
      <c r="L166">
        <v>3</v>
      </c>
      <c r="M166" t="s">
        <v>15</v>
      </c>
      <c r="N166">
        <v>1</v>
      </c>
      <c r="O166" t="s">
        <v>10</v>
      </c>
      <c r="P166">
        <v>4</v>
      </c>
      <c r="Q166" s="4">
        <v>45899</v>
      </c>
      <c r="R166" s="4"/>
      <c r="S166" t="str">
        <f>TEXT(Table1[[#This Row],[Hiring Date]],"mmmm")</f>
        <v>August</v>
      </c>
      <c r="T166" s="1">
        <f>COUNTIF(S:S,Table1[[#This Row],[Months List]])</f>
        <v>0</v>
      </c>
      <c r="U166" t="str">
        <f>TEXT(Table1[[#This Row],[Hiring Date]],"dddd")</f>
        <v>Saturday</v>
      </c>
      <c r="V166" s="1" t="str">
        <f>TEXT(Table1[[#This Row],[Hiring Date]],"yyyy")</f>
        <v>2025</v>
      </c>
    </row>
    <row r="167" spans="1:22">
      <c r="A167" t="s">
        <v>1156</v>
      </c>
      <c r="B167">
        <v>50</v>
      </c>
      <c r="C167">
        <v>1234</v>
      </c>
      <c r="D167" t="s">
        <v>14</v>
      </c>
      <c r="E167" t="s">
        <v>1495</v>
      </c>
      <c r="F167" t="s">
        <v>1496</v>
      </c>
      <c r="G167">
        <v>41</v>
      </c>
      <c r="H167">
        <v>3</v>
      </c>
      <c r="I167">
        <v>4</v>
      </c>
      <c r="J167" t="s">
        <v>1478</v>
      </c>
      <c r="K167" t="s">
        <v>1479</v>
      </c>
      <c r="L167">
        <v>3</v>
      </c>
      <c r="M167" t="s">
        <v>15</v>
      </c>
      <c r="N167">
        <v>2</v>
      </c>
      <c r="O167" t="s">
        <v>10</v>
      </c>
      <c r="P167">
        <v>32</v>
      </c>
      <c r="Q167" s="4">
        <v>45649</v>
      </c>
      <c r="R167" s="4"/>
      <c r="S167" t="str">
        <f>TEXT(Table1[[#This Row],[Hiring Date]],"mmmm")</f>
        <v>December</v>
      </c>
      <c r="T167" s="1">
        <f>COUNTIF(S:S,Table1[[#This Row],[Months List]])</f>
        <v>0</v>
      </c>
      <c r="U167" t="str">
        <f>TEXT(Table1[[#This Row],[Hiring Date]],"dddd")</f>
        <v>Monday</v>
      </c>
      <c r="V167" s="1" t="str">
        <f>TEXT(Table1[[#This Row],[Hiring Date]],"yyyy")</f>
        <v>2024</v>
      </c>
    </row>
    <row r="168" spans="1:22">
      <c r="A168" t="s">
        <v>122</v>
      </c>
      <c r="B168">
        <v>37</v>
      </c>
      <c r="C168">
        <v>1040</v>
      </c>
      <c r="D168" t="s">
        <v>14</v>
      </c>
      <c r="E168" t="s">
        <v>1497</v>
      </c>
      <c r="F168" t="s">
        <v>1496</v>
      </c>
      <c r="G168">
        <v>100</v>
      </c>
      <c r="H168">
        <v>2</v>
      </c>
      <c r="I168">
        <v>2</v>
      </c>
      <c r="J168" t="s">
        <v>1478</v>
      </c>
      <c r="K168" t="s">
        <v>1479</v>
      </c>
      <c r="L168">
        <v>4</v>
      </c>
      <c r="M168" t="s">
        <v>16</v>
      </c>
      <c r="N168">
        <v>5</v>
      </c>
      <c r="O168" t="s">
        <v>13</v>
      </c>
      <c r="P168">
        <v>17</v>
      </c>
      <c r="Q168" s="4">
        <v>45820</v>
      </c>
      <c r="R168" s="4"/>
      <c r="S168" t="str">
        <f>TEXT(Table1[[#This Row],[Hiring Date]],"mmmm")</f>
        <v>June</v>
      </c>
      <c r="T168" s="1">
        <f>COUNTIF(S:S,Table1[[#This Row],[Months List]])</f>
        <v>0</v>
      </c>
      <c r="U168" t="str">
        <f>TEXT(Table1[[#This Row],[Hiring Date]],"dddd")</f>
        <v>Thursday</v>
      </c>
      <c r="V168" s="1" t="str">
        <f>TEXT(Table1[[#This Row],[Hiring Date]],"yyyy")</f>
        <v>2025</v>
      </c>
    </row>
    <row r="169" spans="1:22">
      <c r="A169" t="s">
        <v>1157</v>
      </c>
      <c r="B169">
        <v>32</v>
      </c>
      <c r="C169">
        <v>634</v>
      </c>
      <c r="D169" t="s">
        <v>14</v>
      </c>
      <c r="E169" t="s">
        <v>1500</v>
      </c>
      <c r="F169" t="s">
        <v>1499</v>
      </c>
      <c r="G169">
        <v>35</v>
      </c>
      <c r="H169">
        <v>4</v>
      </c>
      <c r="I169">
        <v>1</v>
      </c>
      <c r="J169" t="s">
        <v>1476</v>
      </c>
      <c r="K169" t="s">
        <v>1477</v>
      </c>
      <c r="L169">
        <v>4</v>
      </c>
      <c r="M169" t="s">
        <v>15</v>
      </c>
      <c r="N169">
        <v>3</v>
      </c>
      <c r="O169" t="s">
        <v>13</v>
      </c>
      <c r="P169">
        <v>6</v>
      </c>
      <c r="Q169" s="4">
        <v>45923</v>
      </c>
      <c r="R169" s="4"/>
      <c r="S169" t="str">
        <f>TEXT(Table1[[#This Row],[Hiring Date]],"mmmm")</f>
        <v>September</v>
      </c>
      <c r="T169" s="1">
        <f>COUNTIF(S:S,Table1[[#This Row],[Months List]])</f>
        <v>0</v>
      </c>
      <c r="U169" t="str">
        <f>TEXT(Table1[[#This Row],[Hiring Date]],"dddd")</f>
        <v>Tuesday</v>
      </c>
      <c r="V169" s="1" t="str">
        <f>TEXT(Table1[[#This Row],[Hiring Date]],"yyyy")</f>
        <v>2025</v>
      </c>
    </row>
    <row r="170" spans="1:22">
      <c r="A170" t="s">
        <v>1158</v>
      </c>
      <c r="B170">
        <v>44</v>
      </c>
      <c r="C170">
        <v>1313</v>
      </c>
      <c r="D170" t="s">
        <v>14</v>
      </c>
      <c r="E170" t="s">
        <v>1495</v>
      </c>
      <c r="F170" t="s">
        <v>1499</v>
      </c>
      <c r="G170">
        <v>31</v>
      </c>
      <c r="H170">
        <v>3</v>
      </c>
      <c r="I170">
        <v>5</v>
      </c>
      <c r="J170" t="s">
        <v>1487</v>
      </c>
      <c r="K170" t="s">
        <v>1488</v>
      </c>
      <c r="L170">
        <v>4</v>
      </c>
      <c r="M170" t="s">
        <v>16</v>
      </c>
      <c r="N170">
        <v>0</v>
      </c>
      <c r="O170" t="s">
        <v>10</v>
      </c>
      <c r="P170">
        <v>23</v>
      </c>
      <c r="Q170" s="4">
        <v>45709</v>
      </c>
      <c r="R170" s="4"/>
      <c r="S170" t="str">
        <f>TEXT(Table1[[#This Row],[Hiring Date]],"mmmm")</f>
        <v>February</v>
      </c>
      <c r="T170" s="1">
        <f>COUNTIF(S:S,Table1[[#This Row],[Months List]])</f>
        <v>0</v>
      </c>
      <c r="U170" t="str">
        <f>TEXT(Table1[[#This Row],[Hiring Date]],"dddd")</f>
        <v>Friday</v>
      </c>
      <c r="V170" s="1" t="str">
        <f>TEXT(Table1[[#This Row],[Hiring Date]],"yyyy")</f>
        <v>2025</v>
      </c>
    </row>
    <row r="171" spans="1:22">
      <c r="A171" t="s">
        <v>1159</v>
      </c>
      <c r="B171">
        <v>30</v>
      </c>
      <c r="C171">
        <v>241</v>
      </c>
      <c r="D171" t="s">
        <v>14</v>
      </c>
      <c r="E171" t="s">
        <v>1495</v>
      </c>
      <c r="F171" t="s">
        <v>1496</v>
      </c>
      <c r="G171">
        <v>48</v>
      </c>
      <c r="H171">
        <v>2</v>
      </c>
      <c r="I171">
        <v>1</v>
      </c>
      <c r="J171" t="s">
        <v>1476</v>
      </c>
      <c r="K171" t="s">
        <v>1477</v>
      </c>
      <c r="L171">
        <v>2</v>
      </c>
      <c r="M171" t="s">
        <v>15</v>
      </c>
      <c r="N171">
        <v>1</v>
      </c>
      <c r="O171" t="s">
        <v>13</v>
      </c>
      <c r="P171">
        <v>6</v>
      </c>
      <c r="Q171" s="4">
        <v>45956</v>
      </c>
      <c r="R171" s="4"/>
      <c r="S171" t="str">
        <f>TEXT(Table1[[#This Row],[Hiring Date]],"mmmm")</f>
        <v>October</v>
      </c>
      <c r="T171" s="1">
        <f>COUNTIF(S:S,Table1[[#This Row],[Months List]])</f>
        <v>0</v>
      </c>
      <c r="U171" t="str">
        <f>TEXT(Table1[[#This Row],[Hiring Date]],"dddd")</f>
        <v>Sunday</v>
      </c>
      <c r="V171" s="1" t="str">
        <f>TEXT(Table1[[#This Row],[Hiring Date]],"yyyy")</f>
        <v>2025</v>
      </c>
    </row>
    <row r="172" spans="1:22">
      <c r="A172" t="s">
        <v>1160</v>
      </c>
      <c r="B172">
        <v>45</v>
      </c>
      <c r="C172">
        <v>1015</v>
      </c>
      <c r="D172" t="s">
        <v>14</v>
      </c>
      <c r="E172" t="s">
        <v>1495</v>
      </c>
      <c r="F172" t="s">
        <v>1499</v>
      </c>
      <c r="G172">
        <v>50</v>
      </c>
      <c r="H172">
        <v>1</v>
      </c>
      <c r="I172">
        <v>2</v>
      </c>
      <c r="J172" t="s">
        <v>1484</v>
      </c>
      <c r="K172" t="s">
        <v>1485</v>
      </c>
      <c r="L172">
        <v>1</v>
      </c>
      <c r="M172" t="s">
        <v>12</v>
      </c>
      <c r="N172">
        <v>1</v>
      </c>
      <c r="O172" t="s">
        <v>10</v>
      </c>
      <c r="P172">
        <v>10</v>
      </c>
      <c r="Q172" s="4">
        <v>45945</v>
      </c>
      <c r="R172" s="4"/>
      <c r="S172" t="str">
        <f>TEXT(Table1[[#This Row],[Hiring Date]],"mmmm")</f>
        <v>October</v>
      </c>
      <c r="T172" s="1">
        <f>COUNTIF(S:S,Table1[[#This Row],[Months List]])</f>
        <v>0</v>
      </c>
      <c r="U172" t="str">
        <f>TEXT(Table1[[#This Row],[Hiring Date]],"dddd")</f>
        <v>Wednesday</v>
      </c>
      <c r="V172" s="1" t="str">
        <f>TEXT(Table1[[#This Row],[Hiring Date]],"yyyy")</f>
        <v>2025</v>
      </c>
    </row>
    <row r="173" spans="1:22">
      <c r="A173" t="s">
        <v>1161</v>
      </c>
      <c r="B173">
        <v>45</v>
      </c>
      <c r="C173">
        <v>336</v>
      </c>
      <c r="D173" t="s">
        <v>11</v>
      </c>
      <c r="E173" t="s">
        <v>1498</v>
      </c>
      <c r="F173" t="s">
        <v>1496</v>
      </c>
      <c r="G173">
        <v>52</v>
      </c>
      <c r="H173">
        <v>2</v>
      </c>
      <c r="I173">
        <v>2</v>
      </c>
      <c r="J173" t="s">
        <v>1474</v>
      </c>
      <c r="K173" t="s">
        <v>1475</v>
      </c>
      <c r="L173">
        <v>1</v>
      </c>
      <c r="M173" t="s">
        <v>15</v>
      </c>
      <c r="N173">
        <v>1</v>
      </c>
      <c r="O173" t="s">
        <v>13</v>
      </c>
      <c r="P173">
        <v>10</v>
      </c>
      <c r="Q173" s="4">
        <v>45663</v>
      </c>
      <c r="R173" s="4"/>
      <c r="S173" t="str">
        <f>TEXT(Table1[[#This Row],[Hiring Date]],"mmmm")</f>
        <v>January</v>
      </c>
      <c r="T173" s="1">
        <f>COUNTIF(S:S,Table1[[#This Row],[Months List]])</f>
        <v>0</v>
      </c>
      <c r="U173" t="str">
        <f>TEXT(Table1[[#This Row],[Hiring Date]],"dddd")</f>
        <v>Monday</v>
      </c>
      <c r="V173" s="1" t="str">
        <f>TEXT(Table1[[#This Row],[Hiring Date]],"yyyy")</f>
        <v>2025</v>
      </c>
    </row>
    <row r="174" spans="1:22">
      <c r="A174" t="s">
        <v>1162</v>
      </c>
      <c r="B174">
        <v>31</v>
      </c>
      <c r="C174">
        <v>715</v>
      </c>
      <c r="D174" t="s">
        <v>11</v>
      </c>
      <c r="E174" t="s">
        <v>1500</v>
      </c>
      <c r="F174" t="s">
        <v>1496</v>
      </c>
      <c r="G174">
        <v>54</v>
      </c>
      <c r="H174">
        <v>3</v>
      </c>
      <c r="I174">
        <v>2</v>
      </c>
      <c r="J174" t="s">
        <v>1474</v>
      </c>
      <c r="K174" t="s">
        <v>1475</v>
      </c>
      <c r="L174">
        <v>1</v>
      </c>
      <c r="M174" t="s">
        <v>12</v>
      </c>
      <c r="N174">
        <v>7</v>
      </c>
      <c r="O174" t="s">
        <v>13</v>
      </c>
      <c r="P174">
        <v>10</v>
      </c>
      <c r="Q174" s="4">
        <v>45865</v>
      </c>
      <c r="R174" s="4"/>
      <c r="S174" t="str">
        <f>TEXT(Table1[[#This Row],[Hiring Date]],"mmmm")</f>
        <v>July</v>
      </c>
      <c r="T174" s="1">
        <f>COUNTIF(S:S,Table1[[#This Row],[Months List]])</f>
        <v>0</v>
      </c>
      <c r="U174" t="str">
        <f>TEXT(Table1[[#This Row],[Hiring Date]],"dddd")</f>
        <v>Sunday</v>
      </c>
      <c r="V174" s="1" t="str">
        <f>TEXT(Table1[[#This Row],[Hiring Date]],"yyyy")</f>
        <v>2025</v>
      </c>
    </row>
    <row r="175" spans="1:22">
      <c r="A175" t="s">
        <v>1163</v>
      </c>
      <c r="B175">
        <v>36</v>
      </c>
      <c r="C175">
        <v>559</v>
      </c>
      <c r="D175" t="s">
        <v>14</v>
      </c>
      <c r="E175" t="s">
        <v>1497</v>
      </c>
      <c r="F175" t="s">
        <v>1499</v>
      </c>
      <c r="G175">
        <v>76</v>
      </c>
      <c r="H175">
        <v>3</v>
      </c>
      <c r="I175">
        <v>2</v>
      </c>
      <c r="J175" t="s">
        <v>1480</v>
      </c>
      <c r="K175" t="s">
        <v>1481</v>
      </c>
      <c r="L175">
        <v>3</v>
      </c>
      <c r="M175" t="s">
        <v>15</v>
      </c>
      <c r="N175">
        <v>9</v>
      </c>
      <c r="O175" t="s">
        <v>10</v>
      </c>
      <c r="P175">
        <v>7</v>
      </c>
      <c r="Q175" s="4">
        <v>45767</v>
      </c>
      <c r="R175" s="4"/>
      <c r="S175" t="str">
        <f>TEXT(Table1[[#This Row],[Hiring Date]],"mmmm")</f>
        <v>April</v>
      </c>
      <c r="T175" s="1">
        <f>COUNTIF(S:S,Table1[[#This Row],[Months List]])</f>
        <v>0</v>
      </c>
      <c r="U175" t="str">
        <f>TEXT(Table1[[#This Row],[Hiring Date]],"dddd")</f>
        <v>Sunday</v>
      </c>
      <c r="V175" s="1" t="str">
        <f>TEXT(Table1[[#This Row],[Hiring Date]],"yyyy")</f>
        <v>2025</v>
      </c>
    </row>
    <row r="176" spans="1:22">
      <c r="A176" t="s">
        <v>1164</v>
      </c>
      <c r="B176">
        <v>34</v>
      </c>
      <c r="C176">
        <v>426</v>
      </c>
      <c r="D176" t="s">
        <v>14</v>
      </c>
      <c r="E176" t="s">
        <v>1497</v>
      </c>
      <c r="F176" t="s">
        <v>1496</v>
      </c>
      <c r="G176">
        <v>42</v>
      </c>
      <c r="H176">
        <v>4</v>
      </c>
      <c r="I176">
        <v>2</v>
      </c>
      <c r="J176" t="s">
        <v>1480</v>
      </c>
      <c r="K176" t="s">
        <v>1481</v>
      </c>
      <c r="L176">
        <v>4</v>
      </c>
      <c r="M176" t="s">
        <v>16</v>
      </c>
      <c r="N176">
        <v>1</v>
      </c>
      <c r="O176" t="s">
        <v>13</v>
      </c>
      <c r="P176">
        <v>9</v>
      </c>
      <c r="Q176" s="4">
        <v>45889</v>
      </c>
      <c r="R176" s="4"/>
      <c r="S176" t="str">
        <f>TEXT(Table1[[#This Row],[Hiring Date]],"mmmm")</f>
        <v>August</v>
      </c>
      <c r="T176" s="1">
        <f>COUNTIF(S:S,Table1[[#This Row],[Months List]])</f>
        <v>0</v>
      </c>
      <c r="U176" t="str">
        <f>TEXT(Table1[[#This Row],[Hiring Date]],"dddd")</f>
        <v>Wednesday</v>
      </c>
      <c r="V176" s="1" t="str">
        <f>TEXT(Table1[[#This Row],[Hiring Date]],"yyyy")</f>
        <v>2025</v>
      </c>
    </row>
    <row r="177" spans="1:22">
      <c r="A177" t="s">
        <v>1165</v>
      </c>
      <c r="B177">
        <v>49</v>
      </c>
      <c r="C177">
        <v>722</v>
      </c>
      <c r="D177" t="s">
        <v>14</v>
      </c>
      <c r="E177" t="s">
        <v>1497</v>
      </c>
      <c r="F177" t="s">
        <v>1499</v>
      </c>
      <c r="G177">
        <v>84</v>
      </c>
      <c r="H177">
        <v>3</v>
      </c>
      <c r="I177">
        <v>1</v>
      </c>
      <c r="J177" t="s">
        <v>1484</v>
      </c>
      <c r="K177" t="s">
        <v>1485</v>
      </c>
      <c r="L177">
        <v>1</v>
      </c>
      <c r="M177" t="s">
        <v>15</v>
      </c>
      <c r="N177">
        <v>1</v>
      </c>
      <c r="O177" t="s">
        <v>13</v>
      </c>
      <c r="P177">
        <v>10</v>
      </c>
      <c r="Q177" s="4">
        <v>45927</v>
      </c>
      <c r="R177" s="4"/>
      <c r="S177" t="str">
        <f>TEXT(Table1[[#This Row],[Hiring Date]],"mmmm")</f>
        <v>September</v>
      </c>
      <c r="T177" s="1">
        <f>COUNTIF(S:S,Table1[[#This Row],[Months List]])</f>
        <v>0</v>
      </c>
      <c r="U177" t="str">
        <f>TEXT(Table1[[#This Row],[Hiring Date]],"dddd")</f>
        <v>Saturday</v>
      </c>
      <c r="V177" s="1" t="str">
        <f>TEXT(Table1[[#This Row],[Hiring Date]],"yyyy")</f>
        <v>2025</v>
      </c>
    </row>
    <row r="178" spans="1:22">
      <c r="A178" t="s">
        <v>1166</v>
      </c>
      <c r="B178">
        <v>39</v>
      </c>
      <c r="C178">
        <v>1387</v>
      </c>
      <c r="D178" t="s">
        <v>14</v>
      </c>
      <c r="E178" t="s">
        <v>1495</v>
      </c>
      <c r="F178" t="s">
        <v>1496</v>
      </c>
      <c r="G178">
        <v>76</v>
      </c>
      <c r="H178">
        <v>3</v>
      </c>
      <c r="I178">
        <v>2</v>
      </c>
      <c r="J178" t="s">
        <v>1480</v>
      </c>
      <c r="K178" t="s">
        <v>1481</v>
      </c>
      <c r="L178">
        <v>1</v>
      </c>
      <c r="M178" t="s">
        <v>15</v>
      </c>
      <c r="N178">
        <v>2</v>
      </c>
      <c r="O178" t="s">
        <v>13</v>
      </c>
      <c r="P178">
        <v>10</v>
      </c>
      <c r="Q178" s="4">
        <v>45787</v>
      </c>
      <c r="R178" s="4"/>
      <c r="S178" t="str">
        <f>TEXT(Table1[[#This Row],[Hiring Date]],"mmmm")</f>
        <v>May</v>
      </c>
      <c r="T178" s="1">
        <f>COUNTIF(S:S,Table1[[#This Row],[Months List]])</f>
        <v>0</v>
      </c>
      <c r="U178" t="str">
        <f>TEXT(Table1[[#This Row],[Hiring Date]],"dddd")</f>
        <v>Saturday</v>
      </c>
      <c r="V178" s="1" t="str">
        <f>TEXT(Table1[[#This Row],[Hiring Date]],"yyyy")</f>
        <v>2025</v>
      </c>
    </row>
    <row r="179" spans="1:22">
      <c r="A179" t="s">
        <v>123</v>
      </c>
      <c r="B179">
        <v>59</v>
      </c>
      <c r="C179">
        <v>1420</v>
      </c>
      <c r="D179" t="s">
        <v>17</v>
      </c>
      <c r="E179" t="s">
        <v>17</v>
      </c>
      <c r="F179" t="s">
        <v>1499</v>
      </c>
      <c r="G179">
        <v>32</v>
      </c>
      <c r="H179">
        <v>2</v>
      </c>
      <c r="I179">
        <v>5</v>
      </c>
      <c r="J179" t="s">
        <v>1482</v>
      </c>
      <c r="K179" t="s">
        <v>1483</v>
      </c>
      <c r="L179">
        <v>4</v>
      </c>
      <c r="M179" t="s">
        <v>15</v>
      </c>
      <c r="N179">
        <v>9</v>
      </c>
      <c r="O179" t="s">
        <v>13</v>
      </c>
      <c r="P179">
        <v>30</v>
      </c>
      <c r="Q179" s="4">
        <v>45696</v>
      </c>
      <c r="R179" s="4"/>
      <c r="S179" t="str">
        <f>TEXT(Table1[[#This Row],[Hiring Date]],"mmmm")</f>
        <v>February</v>
      </c>
      <c r="T179" s="1">
        <f>COUNTIF(S:S,Table1[[#This Row],[Months List]])</f>
        <v>0</v>
      </c>
      <c r="U179" t="str">
        <f>TEXT(Table1[[#This Row],[Hiring Date]],"dddd")</f>
        <v>Saturday</v>
      </c>
      <c r="V179" s="1" t="str">
        <f>TEXT(Table1[[#This Row],[Hiring Date]],"yyyy")</f>
        <v>2025</v>
      </c>
    </row>
    <row r="180" spans="1:22">
      <c r="A180" t="s">
        <v>1167</v>
      </c>
      <c r="B180">
        <v>27</v>
      </c>
      <c r="C180">
        <v>1302</v>
      </c>
      <c r="D180" t="s">
        <v>14</v>
      </c>
      <c r="E180" t="s">
        <v>1500</v>
      </c>
      <c r="F180" t="s">
        <v>1496</v>
      </c>
      <c r="G180">
        <v>67</v>
      </c>
      <c r="H180">
        <v>2</v>
      </c>
      <c r="I180">
        <v>1</v>
      </c>
      <c r="J180" t="s">
        <v>1484</v>
      </c>
      <c r="K180" t="s">
        <v>1485</v>
      </c>
      <c r="L180">
        <v>1</v>
      </c>
      <c r="M180" t="s">
        <v>16</v>
      </c>
      <c r="N180">
        <v>1</v>
      </c>
      <c r="O180" t="s">
        <v>13</v>
      </c>
      <c r="P180">
        <v>7</v>
      </c>
      <c r="Q180" s="4">
        <v>45712</v>
      </c>
      <c r="R180" s="4"/>
      <c r="S180" t="str">
        <f>TEXT(Table1[[#This Row],[Hiring Date]],"mmmm")</f>
        <v>February</v>
      </c>
      <c r="T180" s="1">
        <f>COUNTIF(S:S,Table1[[#This Row],[Months List]])</f>
        <v>0</v>
      </c>
      <c r="U180" t="str">
        <f>TEXT(Table1[[#This Row],[Hiring Date]],"dddd")</f>
        <v>Monday</v>
      </c>
      <c r="V180" s="1" t="str">
        <f>TEXT(Table1[[#This Row],[Hiring Date]],"yyyy")</f>
        <v>2025</v>
      </c>
    </row>
    <row r="181" spans="1:22">
      <c r="A181" t="s">
        <v>1168</v>
      </c>
      <c r="B181">
        <v>35</v>
      </c>
      <c r="C181">
        <v>819</v>
      </c>
      <c r="D181" t="s">
        <v>14</v>
      </c>
      <c r="E181" t="s">
        <v>1497</v>
      </c>
      <c r="F181" t="s">
        <v>1496</v>
      </c>
      <c r="G181">
        <v>48</v>
      </c>
      <c r="H181">
        <v>4</v>
      </c>
      <c r="I181">
        <v>2</v>
      </c>
      <c r="J181" t="s">
        <v>1476</v>
      </c>
      <c r="K181" t="s">
        <v>1477</v>
      </c>
      <c r="L181">
        <v>1</v>
      </c>
      <c r="M181" t="s">
        <v>15</v>
      </c>
      <c r="N181">
        <v>1</v>
      </c>
      <c r="O181" t="s">
        <v>13</v>
      </c>
      <c r="P181">
        <v>16</v>
      </c>
      <c r="Q181" s="4">
        <v>45636</v>
      </c>
      <c r="R181" s="4"/>
      <c r="S181" t="str">
        <f>TEXT(Table1[[#This Row],[Hiring Date]],"mmmm")</f>
        <v>December</v>
      </c>
      <c r="T181" s="1">
        <f>COUNTIF(S:S,Table1[[#This Row],[Months List]])</f>
        <v>0</v>
      </c>
      <c r="U181" t="str">
        <f>TEXT(Table1[[#This Row],[Hiring Date]],"dddd")</f>
        <v>Tuesday</v>
      </c>
      <c r="V181" s="1" t="str">
        <f>TEXT(Table1[[#This Row],[Hiring Date]],"yyyy")</f>
        <v>2024</v>
      </c>
    </row>
    <row r="182" spans="1:22">
      <c r="A182" t="s">
        <v>1169</v>
      </c>
      <c r="B182">
        <v>28</v>
      </c>
      <c r="C182">
        <v>580</v>
      </c>
      <c r="D182" t="s">
        <v>14</v>
      </c>
      <c r="E182" t="s">
        <v>1495</v>
      </c>
      <c r="F182" t="s">
        <v>1499</v>
      </c>
      <c r="G182">
        <v>39</v>
      </c>
      <c r="H182">
        <v>1</v>
      </c>
      <c r="I182">
        <v>2</v>
      </c>
      <c r="J182" t="s">
        <v>1480</v>
      </c>
      <c r="K182" t="s">
        <v>1481</v>
      </c>
      <c r="L182">
        <v>1</v>
      </c>
      <c r="M182" t="s">
        <v>16</v>
      </c>
      <c r="N182">
        <v>0</v>
      </c>
      <c r="O182" t="s">
        <v>13</v>
      </c>
      <c r="P182">
        <v>6</v>
      </c>
      <c r="Q182" s="4">
        <v>45734</v>
      </c>
      <c r="R182" s="4"/>
      <c r="S182" t="str">
        <f>TEXT(Table1[[#This Row],[Hiring Date]],"mmmm")</f>
        <v>March</v>
      </c>
      <c r="T182" s="1">
        <f>COUNTIF(S:S,Table1[[#This Row],[Months List]])</f>
        <v>0</v>
      </c>
      <c r="U182" t="str">
        <f>TEXT(Table1[[#This Row],[Hiring Date]],"dddd")</f>
        <v>Tuesday</v>
      </c>
      <c r="V182" s="1" t="str">
        <f>TEXT(Table1[[#This Row],[Hiring Date]],"yyyy")</f>
        <v>2025</v>
      </c>
    </row>
    <row r="183" spans="1:22">
      <c r="A183" t="s">
        <v>1170</v>
      </c>
      <c r="B183">
        <v>21</v>
      </c>
      <c r="C183">
        <v>546</v>
      </c>
      <c r="D183" t="s">
        <v>14</v>
      </c>
      <c r="E183" t="s">
        <v>1495</v>
      </c>
      <c r="F183" t="s">
        <v>1496</v>
      </c>
      <c r="G183">
        <v>97</v>
      </c>
      <c r="H183">
        <v>3</v>
      </c>
      <c r="I183">
        <v>1</v>
      </c>
      <c r="J183" t="s">
        <v>1476</v>
      </c>
      <c r="K183" t="s">
        <v>1477</v>
      </c>
      <c r="L183">
        <v>4</v>
      </c>
      <c r="M183" t="s">
        <v>12</v>
      </c>
      <c r="N183">
        <v>1</v>
      </c>
      <c r="O183" t="s">
        <v>13</v>
      </c>
      <c r="P183">
        <v>3</v>
      </c>
      <c r="Q183" s="4">
        <v>45765</v>
      </c>
      <c r="R183" s="4"/>
      <c r="S183" t="str">
        <f>TEXT(Table1[[#This Row],[Hiring Date]],"mmmm")</f>
        <v>April</v>
      </c>
      <c r="T183" s="1">
        <f>COUNTIF(S:S,Table1[[#This Row],[Months List]])</f>
        <v>0</v>
      </c>
      <c r="U183" t="str">
        <f>TEXT(Table1[[#This Row],[Hiring Date]],"dddd")</f>
        <v>Friday</v>
      </c>
      <c r="V183" s="1" t="str">
        <f>TEXT(Table1[[#This Row],[Hiring Date]],"yyyy")</f>
        <v>2025</v>
      </c>
    </row>
    <row r="184" spans="1:22">
      <c r="A184" t="s">
        <v>1171</v>
      </c>
      <c r="B184">
        <v>18</v>
      </c>
      <c r="C184">
        <v>544</v>
      </c>
      <c r="D184" t="s">
        <v>11</v>
      </c>
      <c r="E184" t="s">
        <v>1495</v>
      </c>
      <c r="F184" t="s">
        <v>1499</v>
      </c>
      <c r="G184">
        <v>70</v>
      </c>
      <c r="H184">
        <v>3</v>
      </c>
      <c r="I184">
        <v>1</v>
      </c>
      <c r="J184" t="s">
        <v>1489</v>
      </c>
      <c r="K184" t="s">
        <v>1490</v>
      </c>
      <c r="L184">
        <v>4</v>
      </c>
      <c r="M184" t="s">
        <v>12</v>
      </c>
      <c r="N184">
        <v>1</v>
      </c>
      <c r="O184" t="s">
        <v>10</v>
      </c>
      <c r="P184">
        <v>0</v>
      </c>
      <c r="Q184" s="4">
        <v>45791</v>
      </c>
      <c r="R184" s="4"/>
      <c r="S184" t="str">
        <f>TEXT(Table1[[#This Row],[Hiring Date]],"mmmm")</f>
        <v>May</v>
      </c>
      <c r="T184" s="1">
        <f>COUNTIF(S:S,Table1[[#This Row],[Months List]])</f>
        <v>0</v>
      </c>
      <c r="U184" t="str">
        <f>TEXT(Table1[[#This Row],[Hiring Date]],"dddd")</f>
        <v>Wednesday</v>
      </c>
      <c r="V184" s="1" t="str">
        <f>TEXT(Table1[[#This Row],[Hiring Date]],"yyyy")</f>
        <v>2025</v>
      </c>
    </row>
    <row r="185" spans="1:22">
      <c r="A185" t="s">
        <v>1172</v>
      </c>
      <c r="B185">
        <v>47</v>
      </c>
      <c r="C185">
        <v>1176</v>
      </c>
      <c r="D185" t="s">
        <v>17</v>
      </c>
      <c r="E185" t="s">
        <v>1497</v>
      </c>
      <c r="F185" t="s">
        <v>1499</v>
      </c>
      <c r="G185">
        <v>98</v>
      </c>
      <c r="H185">
        <v>3</v>
      </c>
      <c r="I185">
        <v>5</v>
      </c>
      <c r="J185" t="s">
        <v>1482</v>
      </c>
      <c r="K185" t="s">
        <v>1483</v>
      </c>
      <c r="L185">
        <v>3</v>
      </c>
      <c r="M185" t="s">
        <v>15</v>
      </c>
      <c r="N185">
        <v>3</v>
      </c>
      <c r="O185" t="s">
        <v>13</v>
      </c>
      <c r="P185">
        <v>27</v>
      </c>
      <c r="Q185" s="4">
        <v>45786</v>
      </c>
      <c r="R185" s="4"/>
      <c r="S185" t="str">
        <f>TEXT(Table1[[#This Row],[Hiring Date]],"mmmm")</f>
        <v>May</v>
      </c>
      <c r="T185" s="1">
        <f>COUNTIF(S:S,Table1[[#This Row],[Months List]])</f>
        <v>0</v>
      </c>
      <c r="U185" t="str">
        <f>TEXT(Table1[[#This Row],[Hiring Date]],"dddd")</f>
        <v>Friday</v>
      </c>
      <c r="V185" s="1" t="str">
        <f>TEXT(Table1[[#This Row],[Hiring Date]],"yyyy")</f>
        <v>2025</v>
      </c>
    </row>
    <row r="186" spans="1:22">
      <c r="A186" t="s">
        <v>1173</v>
      </c>
      <c r="B186">
        <v>39</v>
      </c>
      <c r="C186">
        <v>170</v>
      </c>
      <c r="D186" t="s">
        <v>14</v>
      </c>
      <c r="E186" t="s">
        <v>1495</v>
      </c>
      <c r="F186" t="s">
        <v>1496</v>
      </c>
      <c r="G186">
        <v>76</v>
      </c>
      <c r="H186">
        <v>2</v>
      </c>
      <c r="I186">
        <v>2</v>
      </c>
      <c r="J186" t="s">
        <v>1484</v>
      </c>
      <c r="K186" t="s">
        <v>1485</v>
      </c>
      <c r="L186">
        <v>3</v>
      </c>
      <c r="M186" t="s">
        <v>16</v>
      </c>
      <c r="N186">
        <v>0</v>
      </c>
      <c r="O186" t="s">
        <v>13</v>
      </c>
      <c r="P186">
        <v>11</v>
      </c>
      <c r="Q186" s="4">
        <v>45956</v>
      </c>
      <c r="R186" s="4"/>
      <c r="S186" t="str">
        <f>TEXT(Table1[[#This Row],[Hiring Date]],"mmmm")</f>
        <v>October</v>
      </c>
      <c r="T186" s="1">
        <f>COUNTIF(S:S,Table1[[#This Row],[Months List]])</f>
        <v>0</v>
      </c>
      <c r="U186" t="str">
        <f>TEXT(Table1[[#This Row],[Hiring Date]],"dddd")</f>
        <v>Sunday</v>
      </c>
      <c r="V186" s="1" t="str">
        <f>TEXT(Table1[[#This Row],[Hiring Date]],"yyyy")</f>
        <v>2025</v>
      </c>
    </row>
    <row r="187" spans="1:22">
      <c r="A187" t="s">
        <v>1174</v>
      </c>
      <c r="B187">
        <v>40</v>
      </c>
      <c r="C187">
        <v>884</v>
      </c>
      <c r="D187" t="s">
        <v>14</v>
      </c>
      <c r="E187" t="s">
        <v>1497</v>
      </c>
      <c r="F187" t="s">
        <v>1499</v>
      </c>
      <c r="G187">
        <v>80</v>
      </c>
      <c r="H187">
        <v>2</v>
      </c>
      <c r="I187">
        <v>3</v>
      </c>
      <c r="J187" t="s">
        <v>1480</v>
      </c>
      <c r="K187" t="s">
        <v>1481</v>
      </c>
      <c r="L187">
        <v>3</v>
      </c>
      <c r="M187" t="s">
        <v>15</v>
      </c>
      <c r="N187">
        <v>1</v>
      </c>
      <c r="O187" t="s">
        <v>13</v>
      </c>
      <c r="P187">
        <v>18</v>
      </c>
      <c r="Q187" s="4">
        <v>45736</v>
      </c>
      <c r="R187" s="4"/>
      <c r="S187" t="str">
        <f>TEXT(Table1[[#This Row],[Hiring Date]],"mmmm")</f>
        <v>March</v>
      </c>
      <c r="T187" s="1">
        <f>COUNTIF(S:S,Table1[[#This Row],[Months List]])</f>
        <v>0</v>
      </c>
      <c r="U187" t="str">
        <f>TEXT(Table1[[#This Row],[Hiring Date]],"dddd")</f>
        <v>Thursday</v>
      </c>
      <c r="V187" s="1" t="str">
        <f>TEXT(Table1[[#This Row],[Hiring Date]],"yyyy")</f>
        <v>2025</v>
      </c>
    </row>
    <row r="188" spans="1:22">
      <c r="A188" t="s">
        <v>1175</v>
      </c>
      <c r="B188">
        <v>35</v>
      </c>
      <c r="C188">
        <v>208</v>
      </c>
      <c r="D188" t="s">
        <v>14</v>
      </c>
      <c r="E188" t="s">
        <v>1497</v>
      </c>
      <c r="F188" t="s">
        <v>1499</v>
      </c>
      <c r="G188">
        <v>52</v>
      </c>
      <c r="H188">
        <v>3</v>
      </c>
      <c r="I188">
        <v>2</v>
      </c>
      <c r="J188" t="s">
        <v>1478</v>
      </c>
      <c r="K188" t="s">
        <v>1479</v>
      </c>
      <c r="L188">
        <v>3</v>
      </c>
      <c r="M188" t="s">
        <v>15</v>
      </c>
      <c r="N188">
        <v>1</v>
      </c>
      <c r="O188" t="s">
        <v>13</v>
      </c>
      <c r="P188">
        <v>15</v>
      </c>
      <c r="Q188" s="4">
        <v>45759</v>
      </c>
      <c r="R188" s="4"/>
      <c r="S188" t="str">
        <f>TEXT(Table1[[#This Row],[Hiring Date]],"mmmm")</f>
        <v>April</v>
      </c>
      <c r="T188" s="1">
        <f>COUNTIF(S:S,Table1[[#This Row],[Months List]])</f>
        <v>0</v>
      </c>
      <c r="U188" t="str">
        <f>TEXT(Table1[[#This Row],[Hiring Date]],"dddd")</f>
        <v>Saturday</v>
      </c>
      <c r="V188" s="1" t="str">
        <f>TEXT(Table1[[#This Row],[Hiring Date]],"yyyy")</f>
        <v>2025</v>
      </c>
    </row>
    <row r="189" spans="1:22">
      <c r="A189" t="s">
        <v>1176</v>
      </c>
      <c r="B189">
        <v>37</v>
      </c>
      <c r="C189">
        <v>671</v>
      </c>
      <c r="D189" t="s">
        <v>14</v>
      </c>
      <c r="E189" t="s">
        <v>1497</v>
      </c>
      <c r="F189" t="s">
        <v>1496</v>
      </c>
      <c r="G189">
        <v>85</v>
      </c>
      <c r="H189">
        <v>3</v>
      </c>
      <c r="I189">
        <v>2</v>
      </c>
      <c r="J189" t="s">
        <v>1480</v>
      </c>
      <c r="K189" t="s">
        <v>1481</v>
      </c>
      <c r="L189">
        <v>3</v>
      </c>
      <c r="M189" t="s">
        <v>15</v>
      </c>
      <c r="N189">
        <v>3</v>
      </c>
      <c r="O189" t="s">
        <v>13</v>
      </c>
      <c r="P189">
        <v>9</v>
      </c>
      <c r="Q189" s="4">
        <v>45647</v>
      </c>
      <c r="R189" s="4"/>
      <c r="S189" t="str">
        <f>TEXT(Table1[[#This Row],[Hiring Date]],"mmmm")</f>
        <v>December</v>
      </c>
      <c r="T189" s="1">
        <f>COUNTIF(S:S,Table1[[#This Row],[Months List]])</f>
        <v>0</v>
      </c>
      <c r="U189" t="str">
        <f>TEXT(Table1[[#This Row],[Hiring Date]],"dddd")</f>
        <v>Saturday</v>
      </c>
      <c r="V189" s="1" t="str">
        <f>TEXT(Table1[[#This Row],[Hiring Date]],"yyyy")</f>
        <v>2024</v>
      </c>
    </row>
    <row r="190" spans="1:22">
      <c r="A190" t="s">
        <v>124</v>
      </c>
      <c r="B190">
        <v>50</v>
      </c>
      <c r="C190">
        <v>1115</v>
      </c>
      <c r="D190" t="s">
        <v>14</v>
      </c>
      <c r="E190" t="s">
        <v>1497</v>
      </c>
      <c r="F190" t="s">
        <v>1499</v>
      </c>
      <c r="G190">
        <v>73</v>
      </c>
      <c r="H190">
        <v>3</v>
      </c>
      <c r="I190">
        <v>5</v>
      </c>
      <c r="J190" t="s">
        <v>1487</v>
      </c>
      <c r="K190" t="s">
        <v>1488</v>
      </c>
      <c r="L190">
        <v>2</v>
      </c>
      <c r="M190" t="s">
        <v>15</v>
      </c>
      <c r="N190">
        <v>3</v>
      </c>
      <c r="O190" t="s">
        <v>10</v>
      </c>
      <c r="P190">
        <v>28</v>
      </c>
      <c r="Q190" s="4">
        <v>45721</v>
      </c>
      <c r="R190" s="4"/>
      <c r="S190" t="str">
        <f>TEXT(Table1[[#This Row],[Hiring Date]],"mmmm")</f>
        <v>March</v>
      </c>
      <c r="T190" s="1">
        <f>COUNTIF(S:S,Table1[[#This Row],[Months List]])</f>
        <v>0</v>
      </c>
      <c r="U190" t="str">
        <f>TEXT(Table1[[#This Row],[Hiring Date]],"dddd")</f>
        <v>Wednesday</v>
      </c>
      <c r="V190" s="1" t="str">
        <f>TEXT(Table1[[#This Row],[Hiring Date]],"yyyy")</f>
        <v>2025</v>
      </c>
    </row>
    <row r="191" spans="1:22">
      <c r="A191" t="s">
        <v>1177</v>
      </c>
      <c r="B191">
        <v>39</v>
      </c>
      <c r="C191">
        <v>711</v>
      </c>
      <c r="D191" t="s">
        <v>14</v>
      </c>
      <c r="E191" t="s">
        <v>1495</v>
      </c>
      <c r="F191" t="s">
        <v>1499</v>
      </c>
      <c r="G191">
        <v>81</v>
      </c>
      <c r="H191">
        <v>3</v>
      </c>
      <c r="I191">
        <v>2</v>
      </c>
      <c r="J191" t="s">
        <v>1480</v>
      </c>
      <c r="K191" t="s">
        <v>1481</v>
      </c>
      <c r="L191">
        <v>3</v>
      </c>
      <c r="M191" t="s">
        <v>12</v>
      </c>
      <c r="N191">
        <v>0</v>
      </c>
      <c r="O191" t="s">
        <v>13</v>
      </c>
      <c r="P191">
        <v>10</v>
      </c>
      <c r="Q191" s="4">
        <v>45897</v>
      </c>
      <c r="R191" s="4"/>
      <c r="S191" t="str">
        <f>TEXT(Table1[[#This Row],[Hiring Date]],"mmmm")</f>
        <v>August</v>
      </c>
      <c r="T191" s="1">
        <f>COUNTIF(S:S,Table1[[#This Row],[Months List]])</f>
        <v>0</v>
      </c>
      <c r="U191" t="str">
        <f>TEXT(Table1[[#This Row],[Hiring Date]],"dddd")</f>
        <v>Thursday</v>
      </c>
      <c r="V191" s="1" t="str">
        <f>TEXT(Table1[[#This Row],[Hiring Date]],"yyyy")</f>
        <v>2025</v>
      </c>
    </row>
    <row r="192" spans="1:22">
      <c r="A192" t="s">
        <v>1178</v>
      </c>
      <c r="B192">
        <v>45</v>
      </c>
      <c r="C192">
        <v>1329</v>
      </c>
      <c r="D192" t="s">
        <v>14</v>
      </c>
      <c r="E192" t="s">
        <v>1500</v>
      </c>
      <c r="F192" t="s">
        <v>1499</v>
      </c>
      <c r="G192">
        <v>59</v>
      </c>
      <c r="H192">
        <v>2</v>
      </c>
      <c r="I192">
        <v>2</v>
      </c>
      <c r="J192" t="s">
        <v>1480</v>
      </c>
      <c r="K192" t="s">
        <v>1481</v>
      </c>
      <c r="L192">
        <v>4</v>
      </c>
      <c r="M192" t="s">
        <v>16</v>
      </c>
      <c r="N192">
        <v>1</v>
      </c>
      <c r="O192" t="s">
        <v>13</v>
      </c>
      <c r="P192">
        <v>10</v>
      </c>
      <c r="Q192" s="4">
        <v>45758</v>
      </c>
      <c r="R192" s="4"/>
      <c r="S192" t="str">
        <f>TEXT(Table1[[#This Row],[Hiring Date]],"mmmm")</f>
        <v>April</v>
      </c>
      <c r="T192" s="1">
        <f>COUNTIF(S:S,Table1[[#This Row],[Months List]])</f>
        <v>0</v>
      </c>
      <c r="U192" t="str">
        <f>TEXT(Table1[[#This Row],[Hiring Date]],"dddd")</f>
        <v>Friday</v>
      </c>
      <c r="V192" s="1" t="str">
        <f>TEXT(Table1[[#This Row],[Hiring Date]],"yyyy")</f>
        <v>2025</v>
      </c>
    </row>
    <row r="193" spans="1:22">
      <c r="A193" t="s">
        <v>1179</v>
      </c>
      <c r="B193">
        <v>38</v>
      </c>
      <c r="C193">
        <v>397</v>
      </c>
      <c r="D193" t="s">
        <v>14</v>
      </c>
      <c r="E193" t="s">
        <v>1495</v>
      </c>
      <c r="F193" t="s">
        <v>1499</v>
      </c>
      <c r="G193">
        <v>54</v>
      </c>
      <c r="H193">
        <v>2</v>
      </c>
      <c r="I193">
        <v>3</v>
      </c>
      <c r="J193" t="s">
        <v>1480</v>
      </c>
      <c r="K193" t="s">
        <v>1481</v>
      </c>
      <c r="L193">
        <v>3</v>
      </c>
      <c r="M193" t="s">
        <v>15</v>
      </c>
      <c r="N193">
        <v>3</v>
      </c>
      <c r="O193" t="s">
        <v>10</v>
      </c>
      <c r="P193">
        <v>10</v>
      </c>
      <c r="Q193" s="4">
        <v>45650</v>
      </c>
      <c r="R193" s="4"/>
      <c r="S193" t="str">
        <f>TEXT(Table1[[#This Row],[Hiring Date]],"mmmm")</f>
        <v>December</v>
      </c>
      <c r="T193" s="1">
        <f>COUNTIF(S:S,Table1[[#This Row],[Months List]])</f>
        <v>0</v>
      </c>
      <c r="U193" t="str">
        <f>TEXT(Table1[[#This Row],[Hiring Date]],"dddd")</f>
        <v>Tuesday</v>
      </c>
      <c r="V193" s="1" t="str">
        <f>TEXT(Table1[[#This Row],[Hiring Date]],"yyyy")</f>
        <v>2024</v>
      </c>
    </row>
    <row r="194" spans="1:22">
      <c r="A194" t="s">
        <v>1180</v>
      </c>
      <c r="B194">
        <v>35</v>
      </c>
      <c r="C194">
        <v>737</v>
      </c>
      <c r="D194" t="s">
        <v>11</v>
      </c>
      <c r="E194" t="s">
        <v>1495</v>
      </c>
      <c r="F194" t="s">
        <v>1496</v>
      </c>
      <c r="G194">
        <v>55</v>
      </c>
      <c r="H194">
        <v>2</v>
      </c>
      <c r="I194">
        <v>3</v>
      </c>
      <c r="J194" t="s">
        <v>1474</v>
      </c>
      <c r="K194" t="s">
        <v>1475</v>
      </c>
      <c r="L194">
        <v>1</v>
      </c>
      <c r="M194" t="s">
        <v>15</v>
      </c>
      <c r="N194">
        <v>9</v>
      </c>
      <c r="O194" t="s">
        <v>13</v>
      </c>
      <c r="P194">
        <v>15</v>
      </c>
      <c r="Q194" s="4">
        <v>45878</v>
      </c>
      <c r="R194" s="4"/>
      <c r="S194" t="str">
        <f>TEXT(Table1[[#This Row],[Hiring Date]],"mmmm")</f>
        <v>August</v>
      </c>
      <c r="T194" s="1">
        <f>COUNTIF(S:S,Table1[[#This Row],[Months List]])</f>
        <v>0</v>
      </c>
      <c r="U194" t="str">
        <f>TEXT(Table1[[#This Row],[Hiring Date]],"dddd")</f>
        <v>Saturday</v>
      </c>
      <c r="V194" s="1" t="str">
        <f>TEXT(Table1[[#This Row],[Hiring Date]],"yyyy")</f>
        <v>2025</v>
      </c>
    </row>
    <row r="195" spans="1:22">
      <c r="A195" t="s">
        <v>1181</v>
      </c>
      <c r="B195">
        <v>37</v>
      </c>
      <c r="C195">
        <v>1470</v>
      </c>
      <c r="D195" t="s">
        <v>14</v>
      </c>
      <c r="E195" t="s">
        <v>1495</v>
      </c>
      <c r="F195" t="s">
        <v>1499</v>
      </c>
      <c r="G195">
        <v>71</v>
      </c>
      <c r="H195">
        <v>3</v>
      </c>
      <c r="I195">
        <v>1</v>
      </c>
      <c r="J195" t="s">
        <v>1476</v>
      </c>
      <c r="K195" t="s">
        <v>1477</v>
      </c>
      <c r="L195">
        <v>2</v>
      </c>
      <c r="M195" t="s">
        <v>15</v>
      </c>
      <c r="N195">
        <v>1</v>
      </c>
      <c r="O195" t="s">
        <v>13</v>
      </c>
      <c r="P195">
        <v>8</v>
      </c>
      <c r="Q195" s="4">
        <v>45801</v>
      </c>
      <c r="R195" s="4"/>
      <c r="S195" t="str">
        <f>TEXT(Table1[[#This Row],[Hiring Date]],"mmmm")</f>
        <v>May</v>
      </c>
      <c r="T195" s="1">
        <f>COUNTIF(S:S,Table1[[#This Row],[Months List]])</f>
        <v>0</v>
      </c>
      <c r="U195" t="str">
        <f>TEXT(Table1[[#This Row],[Hiring Date]],"dddd")</f>
        <v>Saturday</v>
      </c>
      <c r="V195" s="1" t="str">
        <f>TEXT(Table1[[#This Row],[Hiring Date]],"yyyy")</f>
        <v>2025</v>
      </c>
    </row>
    <row r="196" spans="1:22">
      <c r="A196" t="s">
        <v>1182</v>
      </c>
      <c r="B196">
        <v>40</v>
      </c>
      <c r="C196">
        <v>448</v>
      </c>
      <c r="D196" t="s">
        <v>14</v>
      </c>
      <c r="E196" t="s">
        <v>1497</v>
      </c>
      <c r="F196" t="s">
        <v>1499</v>
      </c>
      <c r="G196">
        <v>84</v>
      </c>
      <c r="H196">
        <v>3</v>
      </c>
      <c r="I196">
        <v>3</v>
      </c>
      <c r="J196" t="s">
        <v>1480</v>
      </c>
      <c r="K196" t="s">
        <v>1481</v>
      </c>
      <c r="L196">
        <v>4</v>
      </c>
      <c r="M196" t="s">
        <v>12</v>
      </c>
      <c r="N196">
        <v>6</v>
      </c>
      <c r="O196" t="s">
        <v>10</v>
      </c>
      <c r="P196">
        <v>18</v>
      </c>
      <c r="Q196" s="4">
        <v>45908</v>
      </c>
      <c r="R196" s="4"/>
      <c r="S196" t="str">
        <f>TEXT(Table1[[#This Row],[Hiring Date]],"mmmm")</f>
        <v>September</v>
      </c>
      <c r="T196" s="1">
        <f>COUNTIF(S:S,Table1[[#This Row],[Months List]])</f>
        <v>0</v>
      </c>
      <c r="U196" t="str">
        <f>TEXT(Table1[[#This Row],[Hiring Date]],"dddd")</f>
        <v>Monday</v>
      </c>
      <c r="V196" s="1" t="str">
        <f>TEXT(Table1[[#This Row],[Hiring Date]],"yyyy")</f>
        <v>2025</v>
      </c>
    </row>
    <row r="197" spans="1:22">
      <c r="A197" t="s">
        <v>1183</v>
      </c>
      <c r="B197">
        <v>44</v>
      </c>
      <c r="C197">
        <v>602</v>
      </c>
      <c r="D197" t="s">
        <v>17</v>
      </c>
      <c r="E197" t="s">
        <v>17</v>
      </c>
      <c r="F197" t="s">
        <v>1496</v>
      </c>
      <c r="G197">
        <v>37</v>
      </c>
      <c r="H197">
        <v>3</v>
      </c>
      <c r="I197">
        <v>2</v>
      </c>
      <c r="J197" t="s">
        <v>1486</v>
      </c>
      <c r="K197" t="s">
        <v>17</v>
      </c>
      <c r="L197">
        <v>4</v>
      </c>
      <c r="M197" t="s">
        <v>15</v>
      </c>
      <c r="N197">
        <v>4</v>
      </c>
      <c r="O197" t="s">
        <v>10</v>
      </c>
      <c r="P197">
        <v>14</v>
      </c>
      <c r="Q197" s="4">
        <v>45956</v>
      </c>
      <c r="R197" s="4"/>
      <c r="S197" t="str">
        <f>TEXT(Table1[[#This Row],[Hiring Date]],"mmmm")</f>
        <v>October</v>
      </c>
      <c r="T197" s="1">
        <f>COUNTIF(S:S,Table1[[#This Row],[Months List]])</f>
        <v>0</v>
      </c>
      <c r="U197" t="str">
        <f>TEXT(Table1[[#This Row],[Hiring Date]],"dddd")</f>
        <v>Sunday</v>
      </c>
      <c r="V197" s="1" t="str">
        <f>TEXT(Table1[[#This Row],[Hiring Date]],"yyyy")</f>
        <v>2025</v>
      </c>
    </row>
    <row r="198" spans="1:22">
      <c r="A198" t="s">
        <v>1184</v>
      </c>
      <c r="B198">
        <v>48</v>
      </c>
      <c r="C198">
        <v>365</v>
      </c>
      <c r="D198" t="s">
        <v>14</v>
      </c>
      <c r="E198" t="s">
        <v>1495</v>
      </c>
      <c r="F198" t="s">
        <v>1496</v>
      </c>
      <c r="G198">
        <v>89</v>
      </c>
      <c r="H198">
        <v>2</v>
      </c>
      <c r="I198">
        <v>4</v>
      </c>
      <c r="J198" t="s">
        <v>1482</v>
      </c>
      <c r="K198" t="s">
        <v>1483</v>
      </c>
      <c r="L198">
        <v>4</v>
      </c>
      <c r="M198" t="s">
        <v>15</v>
      </c>
      <c r="N198">
        <v>2</v>
      </c>
      <c r="O198" t="s">
        <v>13</v>
      </c>
      <c r="P198">
        <v>23</v>
      </c>
      <c r="Q198" s="4">
        <v>45837</v>
      </c>
      <c r="R198" s="4"/>
      <c r="S198" t="str">
        <f>TEXT(Table1[[#This Row],[Hiring Date]],"mmmm")</f>
        <v>June</v>
      </c>
      <c r="T198" s="1">
        <f>COUNTIF(S:S,Table1[[#This Row],[Months List]])</f>
        <v>0</v>
      </c>
      <c r="U198" t="str">
        <f>TEXT(Table1[[#This Row],[Hiring Date]],"dddd")</f>
        <v>Sunday</v>
      </c>
      <c r="V198" s="1" t="str">
        <f>TEXT(Table1[[#This Row],[Hiring Date]],"yyyy")</f>
        <v>2025</v>
      </c>
    </row>
    <row r="199" spans="1:22">
      <c r="A199" t="s">
        <v>1185</v>
      </c>
      <c r="B199">
        <v>35</v>
      </c>
      <c r="C199">
        <v>763</v>
      </c>
      <c r="D199" t="s">
        <v>11</v>
      </c>
      <c r="E199" t="s">
        <v>1495</v>
      </c>
      <c r="F199" t="s">
        <v>1496</v>
      </c>
      <c r="G199">
        <v>59</v>
      </c>
      <c r="H199">
        <v>1</v>
      </c>
      <c r="I199">
        <v>2</v>
      </c>
      <c r="J199" t="s">
        <v>1474</v>
      </c>
      <c r="K199" t="s">
        <v>1475</v>
      </c>
      <c r="L199">
        <v>4</v>
      </c>
      <c r="M199" t="s">
        <v>16</v>
      </c>
      <c r="N199">
        <v>6</v>
      </c>
      <c r="O199" t="s">
        <v>10</v>
      </c>
      <c r="P199">
        <v>7</v>
      </c>
      <c r="Q199" s="4">
        <v>45930</v>
      </c>
      <c r="R199" s="4"/>
      <c r="S199" t="str">
        <f>TEXT(Table1[[#This Row],[Hiring Date]],"mmmm")</f>
        <v>September</v>
      </c>
      <c r="T199" s="1">
        <f>COUNTIF(S:S,Table1[[#This Row],[Months List]])</f>
        <v>0</v>
      </c>
      <c r="U199" t="str">
        <f>TEXT(Table1[[#This Row],[Hiring Date]],"dddd")</f>
        <v>Tuesday</v>
      </c>
      <c r="V199" s="1" t="str">
        <f>TEXT(Table1[[#This Row],[Hiring Date]],"yyyy")</f>
        <v>2025</v>
      </c>
    </row>
    <row r="200" spans="1:22">
      <c r="A200" t="s">
        <v>1186</v>
      </c>
      <c r="B200">
        <v>24</v>
      </c>
      <c r="C200">
        <v>567</v>
      </c>
      <c r="D200" t="s">
        <v>14</v>
      </c>
      <c r="E200" t="s">
        <v>1501</v>
      </c>
      <c r="F200" t="s">
        <v>1499</v>
      </c>
      <c r="G200">
        <v>32</v>
      </c>
      <c r="H200">
        <v>3</v>
      </c>
      <c r="I200">
        <v>1</v>
      </c>
      <c r="J200" t="s">
        <v>1476</v>
      </c>
      <c r="K200" t="s">
        <v>1477</v>
      </c>
      <c r="L200">
        <v>4</v>
      </c>
      <c r="M200" t="s">
        <v>12</v>
      </c>
      <c r="N200">
        <v>1</v>
      </c>
      <c r="O200" t="s">
        <v>10</v>
      </c>
      <c r="P200">
        <v>6</v>
      </c>
      <c r="Q200" s="4">
        <v>45856</v>
      </c>
      <c r="R200" s="4"/>
      <c r="S200" t="str">
        <f>TEXT(Table1[[#This Row],[Hiring Date]],"mmmm")</f>
        <v>July</v>
      </c>
      <c r="T200" s="1">
        <f>COUNTIF(S:S,Table1[[#This Row],[Months List]])</f>
        <v>0</v>
      </c>
      <c r="U200" t="str">
        <f>TEXT(Table1[[#This Row],[Hiring Date]],"dddd")</f>
        <v>Friday</v>
      </c>
      <c r="V200" s="1" t="str">
        <f>TEXT(Table1[[#This Row],[Hiring Date]],"yyyy")</f>
        <v>2025</v>
      </c>
    </row>
    <row r="201" spans="1:22">
      <c r="A201" t="s">
        <v>125</v>
      </c>
      <c r="B201">
        <v>25</v>
      </c>
      <c r="C201">
        <v>240</v>
      </c>
      <c r="D201" t="s">
        <v>11</v>
      </c>
      <c r="E201" t="s">
        <v>1498</v>
      </c>
      <c r="F201" t="s">
        <v>1496</v>
      </c>
      <c r="G201">
        <v>46</v>
      </c>
      <c r="H201">
        <v>2</v>
      </c>
      <c r="I201">
        <v>2</v>
      </c>
      <c r="J201" t="s">
        <v>1474</v>
      </c>
      <c r="K201" t="s">
        <v>1475</v>
      </c>
      <c r="L201">
        <v>3</v>
      </c>
      <c r="M201" t="s">
        <v>12</v>
      </c>
      <c r="N201">
        <v>1</v>
      </c>
      <c r="O201" t="s">
        <v>10</v>
      </c>
      <c r="P201">
        <v>6</v>
      </c>
      <c r="Q201" s="4">
        <v>45831</v>
      </c>
      <c r="R201" s="4"/>
      <c r="S201" t="str">
        <f>TEXT(Table1[[#This Row],[Hiring Date]],"mmmm")</f>
        <v>June</v>
      </c>
      <c r="T201" s="1">
        <f>COUNTIF(S:S,Table1[[#This Row],[Months List]])</f>
        <v>0</v>
      </c>
      <c r="U201" t="str">
        <f>TEXT(Table1[[#This Row],[Hiring Date]],"dddd")</f>
        <v>Monday</v>
      </c>
      <c r="V201" s="1" t="str">
        <f>TEXT(Table1[[#This Row],[Hiring Date]],"yyyy")</f>
        <v>2025</v>
      </c>
    </row>
    <row r="202" spans="1:22">
      <c r="A202" t="s">
        <v>1187</v>
      </c>
      <c r="B202">
        <v>27</v>
      </c>
      <c r="C202">
        <v>486</v>
      </c>
      <c r="D202" t="s">
        <v>14</v>
      </c>
      <c r="E202" t="s">
        <v>1495</v>
      </c>
      <c r="F202" t="s">
        <v>1499</v>
      </c>
      <c r="G202">
        <v>86</v>
      </c>
      <c r="H202">
        <v>4</v>
      </c>
      <c r="I202">
        <v>1</v>
      </c>
      <c r="J202" t="s">
        <v>1476</v>
      </c>
      <c r="K202" t="s">
        <v>1477</v>
      </c>
      <c r="L202">
        <v>3</v>
      </c>
      <c r="M202" t="s">
        <v>15</v>
      </c>
      <c r="N202">
        <v>7</v>
      </c>
      <c r="O202" t="s">
        <v>13</v>
      </c>
      <c r="P202">
        <v>5</v>
      </c>
      <c r="Q202" s="4">
        <v>45725</v>
      </c>
      <c r="R202" s="4"/>
      <c r="S202" t="str">
        <f>TEXT(Table1[[#This Row],[Hiring Date]],"mmmm")</f>
        <v>March</v>
      </c>
      <c r="T202" s="1">
        <f>COUNTIF(S:S,Table1[[#This Row],[Months List]])</f>
        <v>0</v>
      </c>
      <c r="U202" t="str">
        <f>TEXT(Table1[[#This Row],[Hiring Date]],"dddd")</f>
        <v>Sunday</v>
      </c>
      <c r="V202" s="1" t="str">
        <f>TEXT(Table1[[#This Row],[Hiring Date]],"yyyy")</f>
        <v>2025</v>
      </c>
    </row>
    <row r="203" spans="1:22">
      <c r="A203" t="s">
        <v>1188</v>
      </c>
      <c r="B203">
        <v>27</v>
      </c>
      <c r="C203">
        <v>591</v>
      </c>
      <c r="D203" t="s">
        <v>14</v>
      </c>
      <c r="E203" t="s">
        <v>1495</v>
      </c>
      <c r="F203" t="s">
        <v>1496</v>
      </c>
      <c r="G203">
        <v>87</v>
      </c>
      <c r="H203">
        <v>3</v>
      </c>
      <c r="I203">
        <v>1</v>
      </c>
      <c r="J203" t="s">
        <v>1476</v>
      </c>
      <c r="K203" t="s">
        <v>1477</v>
      </c>
      <c r="L203">
        <v>4</v>
      </c>
      <c r="M203" t="s">
        <v>12</v>
      </c>
      <c r="N203">
        <v>2</v>
      </c>
      <c r="O203" t="s">
        <v>13</v>
      </c>
      <c r="P203">
        <v>6</v>
      </c>
      <c r="Q203" s="4">
        <v>45898</v>
      </c>
      <c r="R203" s="4"/>
      <c r="S203" t="str">
        <f>TEXT(Table1[[#This Row],[Hiring Date]],"mmmm")</f>
        <v>August</v>
      </c>
      <c r="T203" s="1">
        <f>COUNTIF(S:S,Table1[[#This Row],[Months List]])</f>
        <v>0</v>
      </c>
      <c r="U203" t="str">
        <f>TEXT(Table1[[#This Row],[Hiring Date]],"dddd")</f>
        <v>Friday</v>
      </c>
      <c r="V203" s="1" t="str">
        <f>TEXT(Table1[[#This Row],[Hiring Date]],"yyyy")</f>
        <v>2025</v>
      </c>
    </row>
    <row r="204" spans="1:22">
      <c r="A204" t="s">
        <v>1189</v>
      </c>
      <c r="B204">
        <v>40</v>
      </c>
      <c r="C204">
        <v>1329</v>
      </c>
      <c r="D204" t="s">
        <v>14</v>
      </c>
      <c r="E204" t="s">
        <v>1497</v>
      </c>
      <c r="F204" t="s">
        <v>1496</v>
      </c>
      <c r="G204">
        <v>73</v>
      </c>
      <c r="H204">
        <v>3</v>
      </c>
      <c r="I204">
        <v>1</v>
      </c>
      <c r="J204" t="s">
        <v>1484</v>
      </c>
      <c r="K204" t="s">
        <v>1485</v>
      </c>
      <c r="L204">
        <v>1</v>
      </c>
      <c r="M204" t="s">
        <v>12</v>
      </c>
      <c r="N204">
        <v>3</v>
      </c>
      <c r="O204" t="s">
        <v>10</v>
      </c>
      <c r="P204">
        <v>10</v>
      </c>
      <c r="Q204" s="4">
        <v>45930</v>
      </c>
      <c r="R204" s="4"/>
      <c r="S204" t="str">
        <f>TEXT(Table1[[#This Row],[Hiring Date]],"mmmm")</f>
        <v>September</v>
      </c>
      <c r="T204" s="1">
        <f>COUNTIF(S:S,Table1[[#This Row],[Months List]])</f>
        <v>0</v>
      </c>
      <c r="U204" t="str">
        <f>TEXT(Table1[[#This Row],[Hiring Date]],"dddd")</f>
        <v>Tuesday</v>
      </c>
      <c r="V204" s="1" t="str">
        <f>TEXT(Table1[[#This Row],[Hiring Date]],"yyyy")</f>
        <v>2025</v>
      </c>
    </row>
    <row r="205" spans="1:22">
      <c r="A205" t="s">
        <v>1190</v>
      </c>
      <c r="B205">
        <v>29</v>
      </c>
      <c r="C205">
        <v>469</v>
      </c>
      <c r="D205" t="s">
        <v>11</v>
      </c>
      <c r="E205" t="s">
        <v>1495</v>
      </c>
      <c r="F205" t="s">
        <v>1496</v>
      </c>
      <c r="G205">
        <v>42</v>
      </c>
      <c r="H205">
        <v>2</v>
      </c>
      <c r="I205">
        <v>2</v>
      </c>
      <c r="J205" t="s">
        <v>1474</v>
      </c>
      <c r="K205" t="s">
        <v>1475</v>
      </c>
      <c r="L205">
        <v>3</v>
      </c>
      <c r="M205" t="s">
        <v>12</v>
      </c>
      <c r="N205">
        <v>9</v>
      </c>
      <c r="O205" t="s">
        <v>13</v>
      </c>
      <c r="P205">
        <v>8</v>
      </c>
      <c r="Q205" s="4">
        <v>45894</v>
      </c>
      <c r="R205" s="4"/>
      <c r="S205" t="str">
        <f>TEXT(Table1[[#This Row],[Hiring Date]],"mmmm")</f>
        <v>August</v>
      </c>
      <c r="T205" s="1">
        <f>COUNTIF(S:S,Table1[[#This Row],[Months List]])</f>
        <v>0</v>
      </c>
      <c r="U205" t="str">
        <f>TEXT(Table1[[#This Row],[Hiring Date]],"dddd")</f>
        <v>Monday</v>
      </c>
      <c r="V205" s="1" t="str">
        <f>TEXT(Table1[[#This Row],[Hiring Date]],"yyyy")</f>
        <v>2025</v>
      </c>
    </row>
    <row r="206" spans="1:22">
      <c r="A206" t="s">
        <v>1191</v>
      </c>
      <c r="B206">
        <v>36</v>
      </c>
      <c r="C206">
        <v>711</v>
      </c>
      <c r="D206" t="s">
        <v>14</v>
      </c>
      <c r="E206" t="s">
        <v>1497</v>
      </c>
      <c r="F206" t="s">
        <v>1499</v>
      </c>
      <c r="G206">
        <v>42</v>
      </c>
      <c r="H206">
        <v>3</v>
      </c>
      <c r="I206">
        <v>3</v>
      </c>
      <c r="J206" t="s">
        <v>1478</v>
      </c>
      <c r="K206" t="s">
        <v>1479</v>
      </c>
      <c r="L206">
        <v>1</v>
      </c>
      <c r="M206" t="s">
        <v>15</v>
      </c>
      <c r="N206">
        <v>4</v>
      </c>
      <c r="O206" t="s">
        <v>13</v>
      </c>
      <c r="P206">
        <v>9</v>
      </c>
      <c r="Q206" s="4">
        <v>45878</v>
      </c>
      <c r="R206" s="4"/>
      <c r="S206" t="str">
        <f>TEXT(Table1[[#This Row],[Hiring Date]],"mmmm")</f>
        <v>August</v>
      </c>
      <c r="T206" s="1">
        <f>COUNTIF(S:S,Table1[[#This Row],[Months List]])</f>
        <v>0</v>
      </c>
      <c r="U206" t="str">
        <f>TEXT(Table1[[#This Row],[Hiring Date]],"dddd")</f>
        <v>Saturday</v>
      </c>
      <c r="V206" s="1" t="str">
        <f>TEXT(Table1[[#This Row],[Hiring Date]],"yyyy")</f>
        <v>2025</v>
      </c>
    </row>
    <row r="207" spans="1:22">
      <c r="A207" t="s">
        <v>1192</v>
      </c>
      <c r="B207">
        <v>25</v>
      </c>
      <c r="C207">
        <v>772</v>
      </c>
      <c r="D207" t="s">
        <v>14</v>
      </c>
      <c r="E207" t="s">
        <v>1497</v>
      </c>
      <c r="F207" t="s">
        <v>1496</v>
      </c>
      <c r="G207">
        <v>77</v>
      </c>
      <c r="H207">
        <v>4</v>
      </c>
      <c r="I207">
        <v>2</v>
      </c>
      <c r="J207" t="s">
        <v>1480</v>
      </c>
      <c r="K207" t="s">
        <v>1481</v>
      </c>
      <c r="L207">
        <v>3</v>
      </c>
      <c r="M207" t="s">
        <v>16</v>
      </c>
      <c r="N207">
        <v>1</v>
      </c>
      <c r="O207" t="s">
        <v>13</v>
      </c>
      <c r="P207">
        <v>7</v>
      </c>
      <c r="Q207" s="4">
        <v>45786</v>
      </c>
      <c r="R207" s="4"/>
      <c r="S207" t="str">
        <f>TEXT(Table1[[#This Row],[Hiring Date]],"mmmm")</f>
        <v>May</v>
      </c>
      <c r="T207" s="1">
        <f>COUNTIF(S:S,Table1[[#This Row],[Months List]])</f>
        <v>0</v>
      </c>
      <c r="U207" t="str">
        <f>TEXT(Table1[[#This Row],[Hiring Date]],"dddd")</f>
        <v>Friday</v>
      </c>
      <c r="V207" s="1" t="str">
        <f>TEXT(Table1[[#This Row],[Hiring Date]],"yyyy")</f>
        <v>2025</v>
      </c>
    </row>
    <row r="208" spans="1:22">
      <c r="A208" t="s">
        <v>1193</v>
      </c>
      <c r="B208">
        <v>39</v>
      </c>
      <c r="C208">
        <v>492</v>
      </c>
      <c r="D208" t="s">
        <v>14</v>
      </c>
      <c r="E208" t="s">
        <v>1495</v>
      </c>
      <c r="F208" t="s">
        <v>1496</v>
      </c>
      <c r="G208">
        <v>66</v>
      </c>
      <c r="H208">
        <v>3</v>
      </c>
      <c r="I208">
        <v>2</v>
      </c>
      <c r="J208" t="s">
        <v>1480</v>
      </c>
      <c r="K208" t="s">
        <v>1481</v>
      </c>
      <c r="L208">
        <v>2</v>
      </c>
      <c r="M208" t="s">
        <v>15</v>
      </c>
      <c r="N208">
        <v>4</v>
      </c>
      <c r="O208" t="s">
        <v>13</v>
      </c>
      <c r="P208">
        <v>7</v>
      </c>
      <c r="Q208" s="4">
        <v>45940</v>
      </c>
      <c r="R208" s="4"/>
      <c r="S208" t="str">
        <f>TEXT(Table1[[#This Row],[Hiring Date]],"mmmm")</f>
        <v>October</v>
      </c>
      <c r="T208" s="1">
        <f>COUNTIF(S:S,Table1[[#This Row],[Months List]])</f>
        <v>0</v>
      </c>
      <c r="U208" t="str">
        <f>TEXT(Table1[[#This Row],[Hiring Date]],"dddd")</f>
        <v>Friday</v>
      </c>
      <c r="V208" s="1" t="str">
        <f>TEXT(Table1[[#This Row],[Hiring Date]],"yyyy")</f>
        <v>2025</v>
      </c>
    </row>
    <row r="209" spans="1:22">
      <c r="A209" t="s">
        <v>1194</v>
      </c>
      <c r="B209">
        <v>49</v>
      </c>
      <c r="C209">
        <v>301</v>
      </c>
      <c r="D209" t="s">
        <v>14</v>
      </c>
      <c r="E209" t="s">
        <v>1500</v>
      </c>
      <c r="F209" t="s">
        <v>1499</v>
      </c>
      <c r="G209">
        <v>72</v>
      </c>
      <c r="H209">
        <v>3</v>
      </c>
      <c r="I209">
        <v>4</v>
      </c>
      <c r="J209" t="s">
        <v>1487</v>
      </c>
      <c r="K209" t="s">
        <v>1488</v>
      </c>
      <c r="L209">
        <v>2</v>
      </c>
      <c r="M209" t="s">
        <v>15</v>
      </c>
      <c r="N209">
        <v>3</v>
      </c>
      <c r="O209" t="s">
        <v>13</v>
      </c>
      <c r="P209">
        <v>27</v>
      </c>
      <c r="Q209" s="4">
        <v>45672</v>
      </c>
      <c r="R209" s="4"/>
      <c r="S209" t="str">
        <f>TEXT(Table1[[#This Row],[Hiring Date]],"mmmm")</f>
        <v>January</v>
      </c>
      <c r="T209" s="1">
        <f>COUNTIF(S:S,Table1[[#This Row],[Months List]])</f>
        <v>0</v>
      </c>
      <c r="U209" t="str">
        <f>TEXT(Table1[[#This Row],[Hiring Date]],"dddd")</f>
        <v>Wednesday</v>
      </c>
      <c r="V209" s="1" t="str">
        <f>TEXT(Table1[[#This Row],[Hiring Date]],"yyyy")</f>
        <v>2025</v>
      </c>
    </row>
    <row r="210" spans="1:22">
      <c r="A210" t="s">
        <v>1195</v>
      </c>
      <c r="B210">
        <v>50</v>
      </c>
      <c r="C210">
        <v>813</v>
      </c>
      <c r="D210" t="s">
        <v>14</v>
      </c>
      <c r="E210" t="s">
        <v>1497</v>
      </c>
      <c r="F210" t="s">
        <v>1499</v>
      </c>
      <c r="G210">
        <v>50</v>
      </c>
      <c r="H210">
        <v>2</v>
      </c>
      <c r="I210">
        <v>3</v>
      </c>
      <c r="J210" t="s">
        <v>1487</v>
      </c>
      <c r="K210" t="s">
        <v>1488</v>
      </c>
      <c r="L210">
        <v>1</v>
      </c>
      <c r="M210" t="s">
        <v>16</v>
      </c>
      <c r="N210">
        <v>5</v>
      </c>
      <c r="O210" t="s">
        <v>13</v>
      </c>
      <c r="P210">
        <v>19</v>
      </c>
      <c r="Q210" s="4">
        <v>45752</v>
      </c>
      <c r="R210" s="4"/>
      <c r="S210" t="str">
        <f>TEXT(Table1[[#This Row],[Hiring Date]],"mmmm")</f>
        <v>April</v>
      </c>
      <c r="T210" s="1">
        <f>COUNTIF(S:S,Table1[[#This Row],[Months List]])</f>
        <v>0</v>
      </c>
      <c r="U210" t="str">
        <f>TEXT(Table1[[#This Row],[Hiring Date]],"dddd")</f>
        <v>Saturday</v>
      </c>
      <c r="V210" s="1" t="str">
        <f>TEXT(Table1[[#This Row],[Hiring Date]],"yyyy")</f>
        <v>2025</v>
      </c>
    </row>
    <row r="211" spans="1:22">
      <c r="A211" t="s">
        <v>1196</v>
      </c>
      <c r="B211">
        <v>20</v>
      </c>
      <c r="C211">
        <v>1141</v>
      </c>
      <c r="D211" t="s">
        <v>11</v>
      </c>
      <c r="E211" t="s">
        <v>1495</v>
      </c>
      <c r="F211" t="s">
        <v>1499</v>
      </c>
      <c r="G211">
        <v>31</v>
      </c>
      <c r="H211">
        <v>3</v>
      </c>
      <c r="I211">
        <v>1</v>
      </c>
      <c r="J211" t="s">
        <v>1489</v>
      </c>
      <c r="K211" t="s">
        <v>1490</v>
      </c>
      <c r="L211">
        <v>3</v>
      </c>
      <c r="M211" t="s">
        <v>12</v>
      </c>
      <c r="N211">
        <v>1</v>
      </c>
      <c r="O211" t="s">
        <v>13</v>
      </c>
      <c r="P211">
        <v>2</v>
      </c>
      <c r="Q211" s="4">
        <v>45696</v>
      </c>
      <c r="R211" s="4"/>
      <c r="S211" t="str">
        <f>TEXT(Table1[[#This Row],[Hiring Date]],"mmmm")</f>
        <v>February</v>
      </c>
      <c r="T211" s="1">
        <f>COUNTIF(S:S,Table1[[#This Row],[Months List]])</f>
        <v>0</v>
      </c>
      <c r="U211" t="str">
        <f>TEXT(Table1[[#This Row],[Hiring Date]],"dddd")</f>
        <v>Saturday</v>
      </c>
      <c r="V211" s="1" t="str">
        <f>TEXT(Table1[[#This Row],[Hiring Date]],"yyyy")</f>
        <v>2025</v>
      </c>
    </row>
    <row r="212" spans="1:22">
      <c r="A212" t="s">
        <v>126</v>
      </c>
      <c r="B212">
        <v>25</v>
      </c>
      <c r="C212">
        <v>1280</v>
      </c>
      <c r="D212" t="s">
        <v>14</v>
      </c>
      <c r="E212" t="s">
        <v>1495</v>
      </c>
      <c r="F212" t="s">
        <v>1496</v>
      </c>
      <c r="G212">
        <v>64</v>
      </c>
      <c r="H212">
        <v>2</v>
      </c>
      <c r="I212">
        <v>1</v>
      </c>
      <c r="J212" t="s">
        <v>1476</v>
      </c>
      <c r="K212" t="s">
        <v>1477</v>
      </c>
      <c r="L212">
        <v>4</v>
      </c>
      <c r="M212" t="s">
        <v>15</v>
      </c>
      <c r="N212">
        <v>1</v>
      </c>
      <c r="O212" t="s">
        <v>13</v>
      </c>
      <c r="P212">
        <v>2</v>
      </c>
      <c r="Q212" s="4">
        <v>45767</v>
      </c>
      <c r="R212" s="4"/>
      <c r="S212" t="str">
        <f>TEXT(Table1[[#This Row],[Hiring Date]],"mmmm")</f>
        <v>April</v>
      </c>
      <c r="T212" s="1">
        <f>COUNTIF(S:S,Table1[[#This Row],[Months List]])</f>
        <v>0</v>
      </c>
      <c r="U212" t="str">
        <f>TEXT(Table1[[#This Row],[Hiring Date]],"dddd")</f>
        <v>Sunday</v>
      </c>
      <c r="V212" s="1" t="str">
        <f>TEXT(Table1[[#This Row],[Hiring Date]],"yyyy")</f>
        <v>2025</v>
      </c>
    </row>
    <row r="213" spans="1:22">
      <c r="A213" t="s">
        <v>1197</v>
      </c>
      <c r="B213">
        <v>34</v>
      </c>
      <c r="C213">
        <v>1130</v>
      </c>
      <c r="D213" t="s">
        <v>14</v>
      </c>
      <c r="E213" t="s">
        <v>1497</v>
      </c>
      <c r="F213" t="s">
        <v>1499</v>
      </c>
      <c r="G213">
        <v>66</v>
      </c>
      <c r="H213">
        <v>3</v>
      </c>
      <c r="I213">
        <v>2</v>
      </c>
      <c r="J213" t="s">
        <v>1476</v>
      </c>
      <c r="K213" t="s">
        <v>1477</v>
      </c>
      <c r="L213">
        <v>2</v>
      </c>
      <c r="M213" t="s">
        <v>16</v>
      </c>
      <c r="N213">
        <v>1</v>
      </c>
      <c r="O213" t="s">
        <v>13</v>
      </c>
      <c r="P213">
        <v>11</v>
      </c>
      <c r="Q213" s="4">
        <v>45882</v>
      </c>
      <c r="R213" s="4"/>
      <c r="S213" t="str">
        <f>TEXT(Table1[[#This Row],[Hiring Date]],"mmmm")</f>
        <v>August</v>
      </c>
      <c r="T213" s="1">
        <f>COUNTIF(S:S,Table1[[#This Row],[Months List]])</f>
        <v>0</v>
      </c>
      <c r="U213" t="str">
        <f>TEXT(Table1[[#This Row],[Hiring Date]],"dddd")</f>
        <v>Wednesday</v>
      </c>
      <c r="V213" s="1" t="str">
        <f>TEXT(Table1[[#This Row],[Hiring Date]],"yyyy")</f>
        <v>2025</v>
      </c>
    </row>
    <row r="214" spans="1:22">
      <c r="A214" t="s">
        <v>1198</v>
      </c>
      <c r="B214">
        <v>36</v>
      </c>
      <c r="C214">
        <v>311</v>
      </c>
      <c r="D214" t="s">
        <v>14</v>
      </c>
      <c r="E214" t="s">
        <v>1497</v>
      </c>
      <c r="F214" t="s">
        <v>1496</v>
      </c>
      <c r="G214">
        <v>77</v>
      </c>
      <c r="H214">
        <v>3</v>
      </c>
      <c r="I214">
        <v>1</v>
      </c>
      <c r="J214" t="s">
        <v>1484</v>
      </c>
      <c r="K214" t="s">
        <v>1485</v>
      </c>
      <c r="L214">
        <v>2</v>
      </c>
      <c r="M214" t="s">
        <v>12</v>
      </c>
      <c r="N214">
        <v>2</v>
      </c>
      <c r="O214" t="s">
        <v>13</v>
      </c>
      <c r="P214">
        <v>15</v>
      </c>
      <c r="Q214" s="4">
        <v>45961</v>
      </c>
      <c r="R214" s="4"/>
      <c r="S214" t="str">
        <f>TEXT(Table1[[#This Row],[Hiring Date]],"mmmm")</f>
        <v>October</v>
      </c>
      <c r="T214" s="1">
        <f>COUNTIF(S:S,Table1[[#This Row],[Months List]])</f>
        <v>0</v>
      </c>
      <c r="U214" t="str">
        <f>TEXT(Table1[[#This Row],[Hiring Date]],"dddd")</f>
        <v>Friday</v>
      </c>
      <c r="V214" s="1" t="str">
        <f>TEXT(Table1[[#This Row],[Hiring Date]],"yyyy")</f>
        <v>2025</v>
      </c>
    </row>
    <row r="215" spans="1:22">
      <c r="A215" t="s">
        <v>1199</v>
      </c>
      <c r="B215">
        <v>49</v>
      </c>
      <c r="C215">
        <v>465</v>
      </c>
      <c r="D215" t="s">
        <v>14</v>
      </c>
      <c r="E215" t="s">
        <v>1497</v>
      </c>
      <c r="F215" t="s">
        <v>1499</v>
      </c>
      <c r="G215">
        <v>41</v>
      </c>
      <c r="H215">
        <v>2</v>
      </c>
      <c r="I215">
        <v>4</v>
      </c>
      <c r="J215" t="s">
        <v>1478</v>
      </c>
      <c r="K215" t="s">
        <v>1479</v>
      </c>
      <c r="L215">
        <v>3</v>
      </c>
      <c r="M215" t="s">
        <v>15</v>
      </c>
      <c r="N215">
        <v>2</v>
      </c>
      <c r="O215" t="s">
        <v>10</v>
      </c>
      <c r="P215">
        <v>30</v>
      </c>
      <c r="Q215" s="4">
        <v>45731</v>
      </c>
      <c r="R215" s="4"/>
      <c r="S215" t="str">
        <f>TEXT(Table1[[#This Row],[Hiring Date]],"mmmm")</f>
        <v>March</v>
      </c>
      <c r="T215" s="1">
        <f>COUNTIF(S:S,Table1[[#This Row],[Months List]])</f>
        <v>0</v>
      </c>
      <c r="U215" t="str">
        <f>TEXT(Table1[[#This Row],[Hiring Date]],"dddd")</f>
        <v>Saturday</v>
      </c>
      <c r="V215" s="1" t="str">
        <f>TEXT(Table1[[#This Row],[Hiring Date]],"yyyy")</f>
        <v>2025</v>
      </c>
    </row>
    <row r="216" spans="1:22">
      <c r="A216" t="s">
        <v>1200</v>
      </c>
      <c r="B216">
        <v>36</v>
      </c>
      <c r="C216">
        <v>894</v>
      </c>
      <c r="D216" t="s">
        <v>14</v>
      </c>
      <c r="E216" t="s">
        <v>1495</v>
      </c>
      <c r="F216" t="s">
        <v>1499</v>
      </c>
      <c r="G216">
        <v>33</v>
      </c>
      <c r="H216">
        <v>2</v>
      </c>
      <c r="I216">
        <v>2</v>
      </c>
      <c r="J216" t="s">
        <v>1480</v>
      </c>
      <c r="K216" t="s">
        <v>1481</v>
      </c>
      <c r="L216">
        <v>3</v>
      </c>
      <c r="M216" t="s">
        <v>15</v>
      </c>
      <c r="N216">
        <v>0</v>
      </c>
      <c r="O216" t="s">
        <v>13</v>
      </c>
      <c r="P216">
        <v>4</v>
      </c>
      <c r="Q216" s="4">
        <v>45836</v>
      </c>
      <c r="R216" s="4"/>
      <c r="S216" t="str">
        <f>TEXT(Table1[[#This Row],[Hiring Date]],"mmmm")</f>
        <v>June</v>
      </c>
      <c r="T216" s="1">
        <f>COUNTIF(S:S,Table1[[#This Row],[Months List]])</f>
        <v>0</v>
      </c>
      <c r="U216" t="str">
        <f>TEXT(Table1[[#This Row],[Hiring Date]],"dddd")</f>
        <v>Saturday</v>
      </c>
      <c r="V216" s="1" t="str">
        <f>TEXT(Table1[[#This Row],[Hiring Date]],"yyyy")</f>
        <v>2025</v>
      </c>
    </row>
    <row r="217" spans="1:22">
      <c r="A217" t="s">
        <v>1201</v>
      </c>
      <c r="B217">
        <v>36</v>
      </c>
      <c r="C217">
        <v>1040</v>
      </c>
      <c r="D217" t="s">
        <v>14</v>
      </c>
      <c r="E217" t="s">
        <v>1497</v>
      </c>
      <c r="F217" t="s">
        <v>1496</v>
      </c>
      <c r="G217">
        <v>79</v>
      </c>
      <c r="H217">
        <v>4</v>
      </c>
      <c r="I217">
        <v>2</v>
      </c>
      <c r="J217" t="s">
        <v>1478</v>
      </c>
      <c r="K217" t="s">
        <v>1479</v>
      </c>
      <c r="L217">
        <v>1</v>
      </c>
      <c r="M217" t="s">
        <v>16</v>
      </c>
      <c r="N217">
        <v>6</v>
      </c>
      <c r="O217" t="s">
        <v>13</v>
      </c>
      <c r="P217">
        <v>13</v>
      </c>
      <c r="Q217" s="4">
        <v>45800</v>
      </c>
      <c r="R217" s="4"/>
      <c r="S217" t="str">
        <f>TEXT(Table1[[#This Row],[Hiring Date]],"mmmm")</f>
        <v>May</v>
      </c>
      <c r="T217" s="1">
        <f>COUNTIF(S:S,Table1[[#This Row],[Months List]])</f>
        <v>0</v>
      </c>
      <c r="U217" t="str">
        <f>TEXT(Table1[[#This Row],[Hiring Date]],"dddd")</f>
        <v>Friday</v>
      </c>
      <c r="V217" s="1" t="str">
        <f>TEXT(Table1[[#This Row],[Hiring Date]],"yyyy")</f>
        <v>2025</v>
      </c>
    </row>
    <row r="218" spans="1:22">
      <c r="A218" t="s">
        <v>1202</v>
      </c>
      <c r="B218">
        <v>54</v>
      </c>
      <c r="C218">
        <v>584</v>
      </c>
      <c r="D218" t="s">
        <v>14</v>
      </c>
      <c r="E218" t="s">
        <v>1495</v>
      </c>
      <c r="F218" t="s">
        <v>1499</v>
      </c>
      <c r="G218">
        <v>91</v>
      </c>
      <c r="H218">
        <v>3</v>
      </c>
      <c r="I218">
        <v>4</v>
      </c>
      <c r="J218" t="s">
        <v>1482</v>
      </c>
      <c r="K218" t="s">
        <v>1483</v>
      </c>
      <c r="L218">
        <v>3</v>
      </c>
      <c r="M218" t="s">
        <v>15</v>
      </c>
      <c r="N218">
        <v>3</v>
      </c>
      <c r="O218" t="s">
        <v>13</v>
      </c>
      <c r="P218">
        <v>36</v>
      </c>
      <c r="Q218" s="4">
        <v>45949</v>
      </c>
      <c r="R218" s="4"/>
      <c r="S218" t="str">
        <f>TEXT(Table1[[#This Row],[Hiring Date]],"mmmm")</f>
        <v>October</v>
      </c>
      <c r="T218" s="1">
        <f>COUNTIF(S:S,Table1[[#This Row],[Months List]])</f>
        <v>0</v>
      </c>
      <c r="U218" t="str">
        <f>TEXT(Table1[[#This Row],[Hiring Date]],"dddd")</f>
        <v>Sunday</v>
      </c>
      <c r="V218" s="1" t="str">
        <f>TEXT(Table1[[#This Row],[Hiring Date]],"yyyy")</f>
        <v>2025</v>
      </c>
    </row>
    <row r="219" spans="1:22">
      <c r="A219" t="s">
        <v>1203</v>
      </c>
      <c r="B219">
        <v>43</v>
      </c>
      <c r="C219">
        <v>1291</v>
      </c>
      <c r="D219" t="s">
        <v>14</v>
      </c>
      <c r="E219" t="s">
        <v>1497</v>
      </c>
      <c r="F219" t="s">
        <v>1496</v>
      </c>
      <c r="G219">
        <v>65</v>
      </c>
      <c r="H219">
        <v>2</v>
      </c>
      <c r="I219">
        <v>4</v>
      </c>
      <c r="J219" t="s">
        <v>1487</v>
      </c>
      <c r="K219" t="s">
        <v>1488</v>
      </c>
      <c r="L219">
        <v>3</v>
      </c>
      <c r="M219" t="s">
        <v>15</v>
      </c>
      <c r="N219">
        <v>1</v>
      </c>
      <c r="O219" t="s">
        <v>13</v>
      </c>
      <c r="P219">
        <v>14</v>
      </c>
      <c r="Q219" s="4">
        <v>45823</v>
      </c>
      <c r="R219" s="4"/>
      <c r="S219" t="str">
        <f>TEXT(Table1[[#This Row],[Hiring Date]],"mmmm")</f>
        <v>June</v>
      </c>
      <c r="T219" s="1">
        <f>COUNTIF(S:S,Table1[[#This Row],[Months List]])</f>
        <v>0</v>
      </c>
      <c r="U219" t="str">
        <f>TEXT(Table1[[#This Row],[Hiring Date]],"dddd")</f>
        <v>Sunday</v>
      </c>
      <c r="V219" s="1" t="str">
        <f>TEXT(Table1[[#This Row],[Hiring Date]],"yyyy")</f>
        <v>2025</v>
      </c>
    </row>
    <row r="220" spans="1:22">
      <c r="A220" t="s">
        <v>1204</v>
      </c>
      <c r="B220">
        <v>35</v>
      </c>
      <c r="C220">
        <v>880</v>
      </c>
      <c r="D220" t="s">
        <v>11</v>
      </c>
      <c r="E220" t="s">
        <v>1500</v>
      </c>
      <c r="F220" t="s">
        <v>1496</v>
      </c>
      <c r="G220">
        <v>36</v>
      </c>
      <c r="H220">
        <v>3</v>
      </c>
      <c r="I220">
        <v>2</v>
      </c>
      <c r="J220" t="s">
        <v>1474</v>
      </c>
      <c r="K220" t="s">
        <v>1475</v>
      </c>
      <c r="L220">
        <v>4</v>
      </c>
      <c r="M220" t="s">
        <v>12</v>
      </c>
      <c r="N220">
        <v>3</v>
      </c>
      <c r="O220" t="s">
        <v>10</v>
      </c>
      <c r="P220">
        <v>13</v>
      </c>
      <c r="Q220" s="4">
        <v>45639</v>
      </c>
      <c r="R220" s="4"/>
      <c r="S220" t="str">
        <f>TEXT(Table1[[#This Row],[Hiring Date]],"mmmm")</f>
        <v>December</v>
      </c>
      <c r="T220" s="1">
        <f>COUNTIF(S:S,Table1[[#This Row],[Months List]])</f>
        <v>0</v>
      </c>
      <c r="U220" t="str">
        <f>TEXT(Table1[[#This Row],[Hiring Date]],"dddd")</f>
        <v>Friday</v>
      </c>
      <c r="V220" s="1" t="str">
        <f>TEXT(Table1[[#This Row],[Hiring Date]],"yyyy")</f>
        <v>2024</v>
      </c>
    </row>
    <row r="221" spans="1:22">
      <c r="A221" t="s">
        <v>1205</v>
      </c>
      <c r="B221">
        <v>38</v>
      </c>
      <c r="C221">
        <v>1189</v>
      </c>
      <c r="D221" t="s">
        <v>14</v>
      </c>
      <c r="E221" t="s">
        <v>1497</v>
      </c>
      <c r="F221" t="s">
        <v>1496</v>
      </c>
      <c r="G221">
        <v>90</v>
      </c>
      <c r="H221">
        <v>3</v>
      </c>
      <c r="I221">
        <v>2</v>
      </c>
      <c r="J221" t="s">
        <v>1476</v>
      </c>
      <c r="K221" t="s">
        <v>1477</v>
      </c>
      <c r="L221">
        <v>4</v>
      </c>
      <c r="M221" t="s">
        <v>15</v>
      </c>
      <c r="N221">
        <v>7</v>
      </c>
      <c r="O221" t="s">
        <v>13</v>
      </c>
      <c r="P221">
        <v>19</v>
      </c>
      <c r="Q221" s="4">
        <v>45878</v>
      </c>
      <c r="R221" s="4"/>
      <c r="S221" t="str">
        <f>TEXT(Table1[[#This Row],[Hiring Date]],"mmmm")</f>
        <v>August</v>
      </c>
      <c r="T221" s="1">
        <f>COUNTIF(S:S,Table1[[#This Row],[Months List]])</f>
        <v>0</v>
      </c>
      <c r="U221" t="str">
        <f>TEXT(Table1[[#This Row],[Hiring Date]],"dddd")</f>
        <v>Saturday</v>
      </c>
      <c r="V221" s="1" t="str">
        <f>TEXT(Table1[[#This Row],[Hiring Date]],"yyyy")</f>
        <v>2025</v>
      </c>
    </row>
    <row r="222" spans="1:22">
      <c r="A222" t="s">
        <v>1206</v>
      </c>
      <c r="B222">
        <v>29</v>
      </c>
      <c r="C222">
        <v>991</v>
      </c>
      <c r="D222" t="s">
        <v>11</v>
      </c>
      <c r="E222" t="s">
        <v>1495</v>
      </c>
      <c r="F222" t="s">
        <v>1496</v>
      </c>
      <c r="G222">
        <v>43</v>
      </c>
      <c r="H222">
        <v>2</v>
      </c>
      <c r="I222">
        <v>2</v>
      </c>
      <c r="J222" t="s">
        <v>1474</v>
      </c>
      <c r="K222" t="s">
        <v>1475</v>
      </c>
      <c r="L222">
        <v>2</v>
      </c>
      <c r="M222" t="s">
        <v>16</v>
      </c>
      <c r="N222">
        <v>1</v>
      </c>
      <c r="O222" t="s">
        <v>10</v>
      </c>
      <c r="P222">
        <v>10</v>
      </c>
      <c r="Q222" s="4">
        <v>45921</v>
      </c>
      <c r="R222" s="4"/>
      <c r="S222" t="str">
        <f>TEXT(Table1[[#This Row],[Hiring Date]],"mmmm")</f>
        <v>September</v>
      </c>
      <c r="T222" s="1">
        <f>COUNTIF(S:S,Table1[[#This Row],[Months List]])</f>
        <v>0</v>
      </c>
      <c r="U222" t="str">
        <f>TEXT(Table1[[#This Row],[Hiring Date]],"dddd")</f>
        <v>Sunday</v>
      </c>
      <c r="V222" s="1" t="str">
        <f>TEXT(Table1[[#This Row],[Hiring Date]],"yyyy")</f>
        <v>2025</v>
      </c>
    </row>
    <row r="223" spans="1:22">
      <c r="A223" t="s">
        <v>19</v>
      </c>
      <c r="B223">
        <v>49</v>
      </c>
      <c r="C223">
        <v>279</v>
      </c>
      <c r="D223" t="s">
        <v>14</v>
      </c>
      <c r="E223" t="s">
        <v>1497</v>
      </c>
      <c r="F223" t="s">
        <v>1496</v>
      </c>
      <c r="G223">
        <v>61</v>
      </c>
      <c r="H223">
        <v>2</v>
      </c>
      <c r="I223">
        <v>2</v>
      </c>
      <c r="J223" t="s">
        <v>1476</v>
      </c>
      <c r="K223" t="s">
        <v>1477</v>
      </c>
      <c r="L223">
        <v>2</v>
      </c>
      <c r="M223" t="s">
        <v>15</v>
      </c>
      <c r="N223">
        <v>1</v>
      </c>
      <c r="O223" t="s">
        <v>13</v>
      </c>
      <c r="P223">
        <v>10</v>
      </c>
      <c r="Q223" s="4">
        <v>45820</v>
      </c>
      <c r="R223" s="4"/>
      <c r="S223" t="str">
        <f>TEXT(Table1[[#This Row],[Hiring Date]],"mmmm")</f>
        <v>June</v>
      </c>
      <c r="T223" s="1">
        <f>COUNTIF(S:S,Table1[[#This Row],[Months List]])</f>
        <v>0</v>
      </c>
      <c r="U223" t="str">
        <f>TEXT(Table1[[#This Row],[Hiring Date]],"dddd")</f>
        <v>Thursday</v>
      </c>
      <c r="V223" s="1" t="str">
        <f>TEXT(Table1[[#This Row],[Hiring Date]],"yyyy")</f>
        <v>2025</v>
      </c>
    </row>
    <row r="224" spans="1:22">
      <c r="A224" t="s">
        <v>127</v>
      </c>
      <c r="B224">
        <v>22</v>
      </c>
      <c r="C224">
        <v>534</v>
      </c>
      <c r="D224" t="s">
        <v>14</v>
      </c>
      <c r="E224" t="s">
        <v>1495</v>
      </c>
      <c r="F224" t="s">
        <v>1499</v>
      </c>
      <c r="G224">
        <v>59</v>
      </c>
      <c r="H224">
        <v>3</v>
      </c>
      <c r="I224">
        <v>1</v>
      </c>
      <c r="J224" t="s">
        <v>1484</v>
      </c>
      <c r="K224" t="s">
        <v>1485</v>
      </c>
      <c r="L224">
        <v>4</v>
      </c>
      <c r="M224" t="s">
        <v>12</v>
      </c>
      <c r="N224">
        <v>1</v>
      </c>
      <c r="O224" t="s">
        <v>13</v>
      </c>
      <c r="P224">
        <v>1</v>
      </c>
      <c r="Q224" s="4">
        <v>45924</v>
      </c>
      <c r="R224" s="4"/>
      <c r="S224" t="str">
        <f>TEXT(Table1[[#This Row],[Hiring Date]],"mmmm")</f>
        <v>September</v>
      </c>
      <c r="T224" s="1">
        <f>COUNTIF(S:S,Table1[[#This Row],[Months List]])</f>
        <v>0</v>
      </c>
      <c r="U224" t="str">
        <f>TEXT(Table1[[#This Row],[Hiring Date]],"dddd")</f>
        <v>Wednesday</v>
      </c>
      <c r="V224" s="1" t="str">
        <f>TEXT(Table1[[#This Row],[Hiring Date]],"yyyy")</f>
        <v>2025</v>
      </c>
    </row>
    <row r="225" spans="1:22">
      <c r="A225" t="s">
        <v>1207</v>
      </c>
      <c r="B225">
        <v>33</v>
      </c>
      <c r="C225">
        <v>392</v>
      </c>
      <c r="D225" t="s">
        <v>11</v>
      </c>
      <c r="E225" t="s">
        <v>1495</v>
      </c>
      <c r="F225" t="s">
        <v>1496</v>
      </c>
      <c r="G225">
        <v>93</v>
      </c>
      <c r="H225">
        <v>3</v>
      </c>
      <c r="I225">
        <v>2</v>
      </c>
      <c r="J225" t="s">
        <v>1474</v>
      </c>
      <c r="K225" t="s">
        <v>1475</v>
      </c>
      <c r="L225">
        <v>4</v>
      </c>
      <c r="M225" t="s">
        <v>16</v>
      </c>
      <c r="N225">
        <v>1</v>
      </c>
      <c r="O225" t="s">
        <v>13</v>
      </c>
      <c r="P225">
        <v>6</v>
      </c>
      <c r="Q225" s="4">
        <v>45916</v>
      </c>
      <c r="R225" s="4"/>
      <c r="S225" t="str">
        <f>TEXT(Table1[[#This Row],[Hiring Date]],"mmmm")</f>
        <v>September</v>
      </c>
      <c r="T225" s="1">
        <f>COUNTIF(S:S,Table1[[#This Row],[Months List]])</f>
        <v>0</v>
      </c>
      <c r="U225" t="str">
        <f>TEXT(Table1[[#This Row],[Hiring Date]],"dddd")</f>
        <v>Tuesday</v>
      </c>
      <c r="V225" s="1" t="str">
        <f>TEXT(Table1[[#This Row],[Hiring Date]],"yyyy")</f>
        <v>2025</v>
      </c>
    </row>
    <row r="226" spans="1:22">
      <c r="A226" t="s">
        <v>1208</v>
      </c>
      <c r="B226">
        <v>32</v>
      </c>
      <c r="C226">
        <v>977</v>
      </c>
      <c r="D226" t="s">
        <v>14</v>
      </c>
      <c r="E226" t="s">
        <v>1495</v>
      </c>
      <c r="F226" t="s">
        <v>1496</v>
      </c>
      <c r="G226">
        <v>45</v>
      </c>
      <c r="H226">
        <v>3</v>
      </c>
      <c r="I226">
        <v>2</v>
      </c>
      <c r="J226" t="s">
        <v>1476</v>
      </c>
      <c r="K226" t="s">
        <v>1477</v>
      </c>
      <c r="L226">
        <v>2</v>
      </c>
      <c r="M226" t="s">
        <v>16</v>
      </c>
      <c r="N226">
        <v>0</v>
      </c>
      <c r="O226" t="s">
        <v>13</v>
      </c>
      <c r="P226">
        <v>10</v>
      </c>
      <c r="Q226" s="4">
        <v>45705</v>
      </c>
      <c r="R226" s="4"/>
      <c r="S226" t="str">
        <f>TEXT(Table1[[#This Row],[Hiring Date]],"mmmm")</f>
        <v>February</v>
      </c>
      <c r="T226" s="1">
        <f>COUNTIF(S:S,Table1[[#This Row],[Months List]])</f>
        <v>0</v>
      </c>
      <c r="U226" t="str">
        <f>TEXT(Table1[[#This Row],[Hiring Date]],"dddd")</f>
        <v>Monday</v>
      </c>
      <c r="V226" s="1" t="str">
        <f>TEXT(Table1[[#This Row],[Hiring Date]],"yyyy")</f>
        <v>2025</v>
      </c>
    </row>
    <row r="227" spans="1:22">
      <c r="A227" t="s">
        <v>1209</v>
      </c>
      <c r="B227">
        <v>31</v>
      </c>
      <c r="C227">
        <v>1112</v>
      </c>
      <c r="D227" t="s">
        <v>11</v>
      </c>
      <c r="E227" t="s">
        <v>1497</v>
      </c>
      <c r="F227" t="s">
        <v>1499</v>
      </c>
      <c r="G227">
        <v>67</v>
      </c>
      <c r="H227">
        <v>3</v>
      </c>
      <c r="I227">
        <v>2</v>
      </c>
      <c r="J227" t="s">
        <v>1474</v>
      </c>
      <c r="K227" t="s">
        <v>1475</v>
      </c>
      <c r="L227">
        <v>4</v>
      </c>
      <c r="M227" t="s">
        <v>15</v>
      </c>
      <c r="N227">
        <v>1</v>
      </c>
      <c r="O227" t="s">
        <v>13</v>
      </c>
      <c r="P227">
        <v>10</v>
      </c>
      <c r="Q227" s="4">
        <v>45822</v>
      </c>
      <c r="R227" s="4"/>
      <c r="S227" t="str">
        <f>TEXT(Table1[[#This Row],[Hiring Date]],"mmmm")</f>
        <v>June</v>
      </c>
      <c r="T227" s="1">
        <f>COUNTIF(S:S,Table1[[#This Row],[Months List]])</f>
        <v>0</v>
      </c>
      <c r="U227" t="str">
        <f>TEXT(Table1[[#This Row],[Hiring Date]],"dddd")</f>
        <v>Saturday</v>
      </c>
      <c r="V227" s="1" t="str">
        <f>TEXT(Table1[[#This Row],[Hiring Date]],"yyyy")</f>
        <v>2025</v>
      </c>
    </row>
    <row r="228" spans="1:22">
      <c r="A228" t="s">
        <v>1210</v>
      </c>
      <c r="B228">
        <v>49</v>
      </c>
      <c r="C228">
        <v>464</v>
      </c>
      <c r="D228" t="s">
        <v>14</v>
      </c>
      <c r="E228" t="s">
        <v>1495</v>
      </c>
      <c r="F228" t="s">
        <v>1499</v>
      </c>
      <c r="G228">
        <v>74</v>
      </c>
      <c r="H228">
        <v>3</v>
      </c>
      <c r="I228">
        <v>1</v>
      </c>
      <c r="J228" t="s">
        <v>1484</v>
      </c>
      <c r="K228" t="s">
        <v>1485</v>
      </c>
      <c r="L228">
        <v>1</v>
      </c>
      <c r="M228" t="s">
        <v>16</v>
      </c>
      <c r="N228">
        <v>4</v>
      </c>
      <c r="O228" t="s">
        <v>10</v>
      </c>
      <c r="P228">
        <v>17</v>
      </c>
      <c r="Q228" s="4">
        <v>45776</v>
      </c>
      <c r="R228" s="4"/>
      <c r="S228" t="str">
        <f>TEXT(Table1[[#This Row],[Hiring Date]],"mmmm")</f>
        <v>April</v>
      </c>
      <c r="T228" s="1">
        <f>COUNTIF(S:S,Table1[[#This Row],[Months List]])</f>
        <v>0</v>
      </c>
      <c r="U228" t="str">
        <f>TEXT(Table1[[#This Row],[Hiring Date]],"dddd")</f>
        <v>Tuesday</v>
      </c>
      <c r="V228" s="1" t="str">
        <f>TEXT(Table1[[#This Row],[Hiring Date]],"yyyy")</f>
        <v>2025</v>
      </c>
    </row>
    <row r="229" spans="1:22">
      <c r="A229" t="s">
        <v>1211</v>
      </c>
      <c r="B229">
        <v>38</v>
      </c>
      <c r="C229">
        <v>148</v>
      </c>
      <c r="D229" t="s">
        <v>14</v>
      </c>
      <c r="E229" t="s">
        <v>1495</v>
      </c>
      <c r="F229" t="s">
        <v>1499</v>
      </c>
      <c r="G229">
        <v>42</v>
      </c>
      <c r="H229">
        <v>2</v>
      </c>
      <c r="I229">
        <v>1</v>
      </c>
      <c r="J229" t="s">
        <v>1484</v>
      </c>
      <c r="K229" t="s">
        <v>1485</v>
      </c>
      <c r="L229">
        <v>2</v>
      </c>
      <c r="M229" t="s">
        <v>12</v>
      </c>
      <c r="N229">
        <v>1</v>
      </c>
      <c r="O229" t="s">
        <v>13</v>
      </c>
      <c r="P229">
        <v>4</v>
      </c>
      <c r="Q229" s="4">
        <v>45717</v>
      </c>
      <c r="R229" s="4"/>
      <c r="S229" t="str">
        <f>TEXT(Table1[[#This Row],[Hiring Date]],"mmmm")</f>
        <v>March</v>
      </c>
      <c r="T229" s="1">
        <f>COUNTIF(S:S,Table1[[#This Row],[Months List]])</f>
        <v>0</v>
      </c>
      <c r="U229" t="str">
        <f>TEXT(Table1[[#This Row],[Hiring Date]],"dddd")</f>
        <v>Saturday</v>
      </c>
      <c r="V229" s="1" t="str">
        <f>TEXT(Table1[[#This Row],[Hiring Date]],"yyyy")</f>
        <v>2025</v>
      </c>
    </row>
    <row r="230" spans="1:22">
      <c r="A230" t="s">
        <v>1212</v>
      </c>
      <c r="B230">
        <v>47</v>
      </c>
      <c r="C230">
        <v>1225</v>
      </c>
      <c r="D230" t="s">
        <v>11</v>
      </c>
      <c r="E230" t="s">
        <v>1497</v>
      </c>
      <c r="F230" t="s">
        <v>1499</v>
      </c>
      <c r="G230">
        <v>47</v>
      </c>
      <c r="H230">
        <v>4</v>
      </c>
      <c r="I230">
        <v>4</v>
      </c>
      <c r="J230" t="s">
        <v>1482</v>
      </c>
      <c r="K230" t="s">
        <v>1483</v>
      </c>
      <c r="L230">
        <v>2</v>
      </c>
      <c r="M230" t="s">
        <v>16</v>
      </c>
      <c r="N230">
        <v>6</v>
      </c>
      <c r="O230" t="s">
        <v>13</v>
      </c>
      <c r="P230">
        <v>29</v>
      </c>
      <c r="Q230" s="4">
        <v>45695</v>
      </c>
      <c r="R230" s="4"/>
      <c r="S230" t="str">
        <f>TEXT(Table1[[#This Row],[Hiring Date]],"mmmm")</f>
        <v>February</v>
      </c>
      <c r="T230" s="1">
        <f>COUNTIF(S:S,Table1[[#This Row],[Months List]])</f>
        <v>0</v>
      </c>
      <c r="U230" t="str">
        <f>TEXT(Table1[[#This Row],[Hiring Date]],"dddd")</f>
        <v>Friday</v>
      </c>
      <c r="V230" s="1" t="str">
        <f>TEXT(Table1[[#This Row],[Hiring Date]],"yyyy")</f>
        <v>2025</v>
      </c>
    </row>
    <row r="231" spans="1:22">
      <c r="A231" t="s">
        <v>1213</v>
      </c>
      <c r="B231">
        <v>49</v>
      </c>
      <c r="C231">
        <v>809</v>
      </c>
      <c r="D231" t="s">
        <v>14</v>
      </c>
      <c r="E231" t="s">
        <v>1497</v>
      </c>
      <c r="F231" t="s">
        <v>1496</v>
      </c>
      <c r="G231">
        <v>36</v>
      </c>
      <c r="H231">
        <v>3</v>
      </c>
      <c r="I231">
        <v>4</v>
      </c>
      <c r="J231" t="s">
        <v>1482</v>
      </c>
      <c r="K231" t="s">
        <v>1483</v>
      </c>
      <c r="L231">
        <v>3</v>
      </c>
      <c r="M231" t="s">
        <v>12</v>
      </c>
      <c r="N231">
        <v>4</v>
      </c>
      <c r="O231" t="s">
        <v>13</v>
      </c>
      <c r="P231">
        <v>23</v>
      </c>
      <c r="Q231" s="4">
        <v>45758</v>
      </c>
      <c r="R231" s="4"/>
      <c r="S231" t="str">
        <f>TEXT(Table1[[#This Row],[Hiring Date]],"mmmm")</f>
        <v>April</v>
      </c>
      <c r="T231" s="1">
        <f>COUNTIF(S:S,Table1[[#This Row],[Months List]])</f>
        <v>0</v>
      </c>
      <c r="U231" t="str">
        <f>TEXT(Table1[[#This Row],[Hiring Date]],"dddd")</f>
        <v>Friday</v>
      </c>
      <c r="V231" s="1" t="str">
        <f>TEXT(Table1[[#This Row],[Hiring Date]],"yyyy")</f>
        <v>2025</v>
      </c>
    </row>
    <row r="232" spans="1:22">
      <c r="A232" t="s">
        <v>1214</v>
      </c>
      <c r="B232">
        <v>41</v>
      </c>
      <c r="C232">
        <v>1206</v>
      </c>
      <c r="D232" t="s">
        <v>11</v>
      </c>
      <c r="E232" t="s">
        <v>1497</v>
      </c>
      <c r="F232" t="s">
        <v>1496</v>
      </c>
      <c r="G232">
        <v>80</v>
      </c>
      <c r="H232">
        <v>3</v>
      </c>
      <c r="I232">
        <v>3</v>
      </c>
      <c r="J232" t="s">
        <v>1474</v>
      </c>
      <c r="K232" t="s">
        <v>1475</v>
      </c>
      <c r="L232">
        <v>3</v>
      </c>
      <c r="M232" t="s">
        <v>12</v>
      </c>
      <c r="N232">
        <v>3</v>
      </c>
      <c r="O232" t="s">
        <v>10</v>
      </c>
      <c r="P232">
        <v>21</v>
      </c>
      <c r="Q232" s="4">
        <v>45884</v>
      </c>
      <c r="R232" s="4"/>
      <c r="S232" t="str">
        <f>TEXT(Table1[[#This Row],[Hiring Date]],"mmmm")</f>
        <v>August</v>
      </c>
      <c r="T232" s="1">
        <f>COUNTIF(S:S,Table1[[#This Row],[Months List]])</f>
        <v>0</v>
      </c>
      <c r="U232" t="str">
        <f>TEXT(Table1[[#This Row],[Hiring Date]],"dddd")</f>
        <v>Friday</v>
      </c>
      <c r="V232" s="1" t="str">
        <f>TEXT(Table1[[#This Row],[Hiring Date]],"yyyy")</f>
        <v>2025</v>
      </c>
    </row>
    <row r="233" spans="1:22">
      <c r="A233" t="s">
        <v>1215</v>
      </c>
      <c r="B233">
        <v>20</v>
      </c>
      <c r="C233">
        <v>727</v>
      </c>
      <c r="D233" t="s">
        <v>11</v>
      </c>
      <c r="E233" t="s">
        <v>1497</v>
      </c>
      <c r="F233" t="s">
        <v>1496</v>
      </c>
      <c r="G233">
        <v>54</v>
      </c>
      <c r="H233">
        <v>3</v>
      </c>
      <c r="I233">
        <v>1</v>
      </c>
      <c r="J233" t="s">
        <v>1489</v>
      </c>
      <c r="K233" t="s">
        <v>1490</v>
      </c>
      <c r="L233">
        <v>1</v>
      </c>
      <c r="M233" t="s">
        <v>12</v>
      </c>
      <c r="N233">
        <v>1</v>
      </c>
      <c r="O233" t="s">
        <v>13</v>
      </c>
      <c r="P233">
        <v>2</v>
      </c>
      <c r="Q233" s="4">
        <v>45976</v>
      </c>
      <c r="R233" s="4"/>
      <c r="S233" t="str">
        <f>TEXT(Table1[[#This Row],[Hiring Date]],"mmmm")</f>
        <v>November</v>
      </c>
      <c r="T233" s="1">
        <f>COUNTIF(S:S,Table1[[#This Row],[Months List]])</f>
        <v>0</v>
      </c>
      <c r="U233" t="str">
        <f>TEXT(Table1[[#This Row],[Hiring Date]],"dddd")</f>
        <v>Saturday</v>
      </c>
      <c r="V233" s="1" t="str">
        <f>TEXT(Table1[[#This Row],[Hiring Date]],"yyyy")</f>
        <v>2025</v>
      </c>
    </row>
    <row r="234" spans="1:22">
      <c r="A234" t="s">
        <v>1216</v>
      </c>
      <c r="B234">
        <v>33</v>
      </c>
      <c r="C234">
        <v>530</v>
      </c>
      <c r="D234" t="s">
        <v>11</v>
      </c>
      <c r="E234" t="s">
        <v>1497</v>
      </c>
      <c r="F234" t="s">
        <v>1499</v>
      </c>
      <c r="G234">
        <v>36</v>
      </c>
      <c r="H234">
        <v>3</v>
      </c>
      <c r="I234">
        <v>2</v>
      </c>
      <c r="J234" t="s">
        <v>1474</v>
      </c>
      <c r="K234" t="s">
        <v>1475</v>
      </c>
      <c r="L234">
        <v>4</v>
      </c>
      <c r="M234" t="s">
        <v>16</v>
      </c>
      <c r="N234">
        <v>1</v>
      </c>
      <c r="O234" t="s">
        <v>10</v>
      </c>
      <c r="P234">
        <v>7</v>
      </c>
      <c r="Q234" s="4">
        <v>45805</v>
      </c>
      <c r="R234" s="4"/>
      <c r="S234" t="str">
        <f>TEXT(Table1[[#This Row],[Hiring Date]],"mmmm")</f>
        <v>May</v>
      </c>
      <c r="T234" s="1">
        <f>COUNTIF(S:S,Table1[[#This Row],[Months List]])</f>
        <v>0</v>
      </c>
      <c r="U234" t="str">
        <f>TEXT(Table1[[#This Row],[Hiring Date]],"dddd")</f>
        <v>Wednesday</v>
      </c>
      <c r="V234" s="1" t="str">
        <f>TEXT(Table1[[#This Row],[Hiring Date]],"yyyy")</f>
        <v>2025</v>
      </c>
    </row>
    <row r="235" spans="1:22">
      <c r="A235" t="s">
        <v>128</v>
      </c>
      <c r="B235">
        <v>51</v>
      </c>
      <c r="C235">
        <v>1456</v>
      </c>
      <c r="D235" t="s">
        <v>14</v>
      </c>
      <c r="E235" t="s">
        <v>1495</v>
      </c>
      <c r="F235" t="s">
        <v>1499</v>
      </c>
      <c r="G235">
        <v>30</v>
      </c>
      <c r="H235">
        <v>2</v>
      </c>
      <c r="I235">
        <v>3</v>
      </c>
      <c r="J235" t="s">
        <v>1478</v>
      </c>
      <c r="K235" t="s">
        <v>1479</v>
      </c>
      <c r="L235">
        <v>1</v>
      </c>
      <c r="M235" t="s">
        <v>12</v>
      </c>
      <c r="N235">
        <v>3</v>
      </c>
      <c r="O235" t="s">
        <v>13</v>
      </c>
      <c r="P235">
        <v>23</v>
      </c>
      <c r="Q235" s="4">
        <v>45810</v>
      </c>
      <c r="R235" s="4"/>
      <c r="S235" t="str">
        <f>TEXT(Table1[[#This Row],[Hiring Date]],"mmmm")</f>
        <v>June</v>
      </c>
      <c r="T235" s="1">
        <f>COUNTIF(S:S,Table1[[#This Row],[Months List]])</f>
        <v>0</v>
      </c>
      <c r="U235" t="str">
        <f>TEXT(Table1[[#This Row],[Hiring Date]],"dddd")</f>
        <v>Monday</v>
      </c>
      <c r="V235" s="1" t="str">
        <f>TEXT(Table1[[#This Row],[Hiring Date]],"yyyy")</f>
        <v>2025</v>
      </c>
    </row>
    <row r="236" spans="1:22">
      <c r="A236" t="s">
        <v>1217</v>
      </c>
      <c r="B236">
        <v>36</v>
      </c>
      <c r="C236">
        <v>1351</v>
      </c>
      <c r="D236" t="s">
        <v>14</v>
      </c>
      <c r="E236" t="s">
        <v>1497</v>
      </c>
      <c r="F236" t="s">
        <v>1496</v>
      </c>
      <c r="G236">
        <v>80</v>
      </c>
      <c r="H236">
        <v>3</v>
      </c>
      <c r="I236">
        <v>2</v>
      </c>
      <c r="J236" t="s">
        <v>1478</v>
      </c>
      <c r="K236" t="s">
        <v>1479</v>
      </c>
      <c r="L236">
        <v>3</v>
      </c>
      <c r="M236" t="s">
        <v>15</v>
      </c>
      <c r="N236">
        <v>6</v>
      </c>
      <c r="O236" t="s">
        <v>13</v>
      </c>
      <c r="P236">
        <v>10</v>
      </c>
      <c r="Q236" s="4">
        <v>45805</v>
      </c>
      <c r="R236" s="4"/>
      <c r="S236" t="str">
        <f>TEXT(Table1[[#This Row],[Hiring Date]],"mmmm")</f>
        <v>May</v>
      </c>
      <c r="T236" s="1">
        <f>COUNTIF(S:S,Table1[[#This Row],[Months List]])</f>
        <v>0</v>
      </c>
      <c r="U236" t="str">
        <f>TEXT(Table1[[#This Row],[Hiring Date]],"dddd")</f>
        <v>Wednesday</v>
      </c>
      <c r="V236" s="1" t="str">
        <f>TEXT(Table1[[#This Row],[Hiring Date]],"yyyy")</f>
        <v>2025</v>
      </c>
    </row>
    <row r="237" spans="1:22">
      <c r="A237" t="s">
        <v>1218</v>
      </c>
      <c r="B237">
        <v>44</v>
      </c>
      <c r="C237">
        <v>528</v>
      </c>
      <c r="D237" t="s">
        <v>17</v>
      </c>
      <c r="E237" t="s">
        <v>1497</v>
      </c>
      <c r="F237" t="s">
        <v>1499</v>
      </c>
      <c r="G237">
        <v>44</v>
      </c>
      <c r="H237">
        <v>3</v>
      </c>
      <c r="I237">
        <v>1</v>
      </c>
      <c r="J237" t="s">
        <v>1486</v>
      </c>
      <c r="K237" t="s">
        <v>17</v>
      </c>
      <c r="L237">
        <v>4</v>
      </c>
      <c r="M237" t="s">
        <v>16</v>
      </c>
      <c r="N237">
        <v>4</v>
      </c>
      <c r="O237" t="s">
        <v>10</v>
      </c>
      <c r="P237">
        <v>8</v>
      </c>
      <c r="Q237" s="4">
        <v>45799</v>
      </c>
      <c r="R237" s="4"/>
      <c r="S237" t="str">
        <f>TEXT(Table1[[#This Row],[Hiring Date]],"mmmm")</f>
        <v>May</v>
      </c>
      <c r="T237" s="1">
        <f>COUNTIF(S:S,Table1[[#This Row],[Months List]])</f>
        <v>0</v>
      </c>
      <c r="U237" t="str">
        <f>TEXT(Table1[[#This Row],[Hiring Date]],"dddd")</f>
        <v>Thursday</v>
      </c>
      <c r="V237" s="1" t="str">
        <f>TEXT(Table1[[#This Row],[Hiring Date]],"yyyy")</f>
        <v>2025</v>
      </c>
    </row>
    <row r="238" spans="1:22">
      <c r="A238" t="s">
        <v>1219</v>
      </c>
      <c r="B238">
        <v>23</v>
      </c>
      <c r="C238">
        <v>1320</v>
      </c>
      <c r="D238" t="s">
        <v>14</v>
      </c>
      <c r="E238" t="s">
        <v>1495</v>
      </c>
      <c r="F238" t="s">
        <v>1496</v>
      </c>
      <c r="G238">
        <v>93</v>
      </c>
      <c r="H238">
        <v>2</v>
      </c>
      <c r="I238">
        <v>1</v>
      </c>
      <c r="J238" t="s">
        <v>1484</v>
      </c>
      <c r="K238" t="s">
        <v>1485</v>
      </c>
      <c r="L238">
        <v>3</v>
      </c>
      <c r="M238" t="s">
        <v>12</v>
      </c>
      <c r="N238">
        <v>1</v>
      </c>
      <c r="O238" t="s">
        <v>10</v>
      </c>
      <c r="P238">
        <v>5</v>
      </c>
      <c r="Q238" s="4">
        <v>45767</v>
      </c>
      <c r="R238" s="4"/>
      <c r="S238" t="str">
        <f>TEXT(Table1[[#This Row],[Hiring Date]],"mmmm")</f>
        <v>April</v>
      </c>
      <c r="T238" s="1">
        <f>COUNTIF(S:S,Table1[[#This Row],[Months List]])</f>
        <v>0</v>
      </c>
      <c r="U238" t="str">
        <f>TEXT(Table1[[#This Row],[Hiring Date]],"dddd")</f>
        <v>Sunday</v>
      </c>
      <c r="V238" s="1" t="str">
        <f>TEXT(Table1[[#This Row],[Hiring Date]],"yyyy")</f>
        <v>2025</v>
      </c>
    </row>
    <row r="239" spans="1:22">
      <c r="A239" t="s">
        <v>1220</v>
      </c>
      <c r="B239">
        <v>38</v>
      </c>
      <c r="C239">
        <v>1495</v>
      </c>
      <c r="D239" t="s">
        <v>14</v>
      </c>
      <c r="E239" t="s">
        <v>1495</v>
      </c>
      <c r="F239" t="s">
        <v>1499</v>
      </c>
      <c r="G239">
        <v>87</v>
      </c>
      <c r="H239">
        <v>3</v>
      </c>
      <c r="I239">
        <v>1</v>
      </c>
      <c r="J239" t="s">
        <v>1484</v>
      </c>
      <c r="K239" t="s">
        <v>1485</v>
      </c>
      <c r="L239">
        <v>3</v>
      </c>
      <c r="M239" t="s">
        <v>15</v>
      </c>
      <c r="N239">
        <v>7</v>
      </c>
      <c r="O239" t="s">
        <v>13</v>
      </c>
      <c r="P239">
        <v>7</v>
      </c>
      <c r="Q239" s="4">
        <v>45645</v>
      </c>
      <c r="R239" s="4"/>
      <c r="S239" t="str">
        <f>TEXT(Table1[[#This Row],[Hiring Date]],"mmmm")</f>
        <v>December</v>
      </c>
      <c r="T239" s="1">
        <f>COUNTIF(S:S,Table1[[#This Row],[Months List]])</f>
        <v>0</v>
      </c>
      <c r="U239" t="str">
        <f>TEXT(Table1[[#This Row],[Hiring Date]],"dddd")</f>
        <v>Thursday</v>
      </c>
      <c r="V239" s="1" t="str">
        <f>TEXT(Table1[[#This Row],[Hiring Date]],"yyyy")</f>
        <v>2024</v>
      </c>
    </row>
    <row r="240" spans="1:22">
      <c r="A240" t="s">
        <v>1221</v>
      </c>
      <c r="B240">
        <v>53</v>
      </c>
      <c r="C240">
        <v>1395</v>
      </c>
      <c r="D240" t="s">
        <v>14</v>
      </c>
      <c r="E240" t="s">
        <v>1495</v>
      </c>
      <c r="F240" t="s">
        <v>1496</v>
      </c>
      <c r="G240">
        <v>48</v>
      </c>
      <c r="H240">
        <v>4</v>
      </c>
      <c r="I240">
        <v>3</v>
      </c>
      <c r="J240" t="s">
        <v>1478</v>
      </c>
      <c r="K240" t="s">
        <v>1479</v>
      </c>
      <c r="L240">
        <v>4</v>
      </c>
      <c r="M240" t="s">
        <v>15</v>
      </c>
      <c r="N240">
        <v>3</v>
      </c>
      <c r="O240" t="s">
        <v>13</v>
      </c>
      <c r="P240">
        <v>11</v>
      </c>
      <c r="Q240" s="4">
        <v>45778</v>
      </c>
      <c r="R240" s="4"/>
      <c r="S240" t="str">
        <f>TEXT(Table1[[#This Row],[Hiring Date]],"mmmm")</f>
        <v>May</v>
      </c>
      <c r="T240" s="1">
        <f>COUNTIF(S:S,Table1[[#This Row],[Months List]])</f>
        <v>0</v>
      </c>
      <c r="U240" t="str">
        <f>TEXT(Table1[[#This Row],[Hiring Date]],"dddd")</f>
        <v>Thursday</v>
      </c>
      <c r="V240" s="1" t="str">
        <f>TEXT(Table1[[#This Row],[Hiring Date]],"yyyy")</f>
        <v>2025</v>
      </c>
    </row>
    <row r="241" spans="1:22">
      <c r="A241" t="s">
        <v>1222</v>
      </c>
      <c r="B241">
        <v>48</v>
      </c>
      <c r="C241">
        <v>708</v>
      </c>
      <c r="D241" t="s">
        <v>11</v>
      </c>
      <c r="E241" t="s">
        <v>1495</v>
      </c>
      <c r="F241" t="s">
        <v>1499</v>
      </c>
      <c r="G241">
        <v>95</v>
      </c>
      <c r="H241">
        <v>3</v>
      </c>
      <c r="I241">
        <v>1</v>
      </c>
      <c r="J241" t="s">
        <v>1489</v>
      </c>
      <c r="K241" t="s">
        <v>1490</v>
      </c>
      <c r="L241">
        <v>3</v>
      </c>
      <c r="M241" t="s">
        <v>15</v>
      </c>
      <c r="N241">
        <v>2</v>
      </c>
      <c r="O241" t="s">
        <v>10</v>
      </c>
      <c r="P241">
        <v>19</v>
      </c>
      <c r="Q241" s="4">
        <v>45945</v>
      </c>
      <c r="R241" s="4"/>
      <c r="S241" t="str">
        <f>TEXT(Table1[[#This Row],[Hiring Date]],"mmmm")</f>
        <v>October</v>
      </c>
      <c r="T241" s="1">
        <f>COUNTIF(S:S,Table1[[#This Row],[Months List]])</f>
        <v>0</v>
      </c>
      <c r="U241" t="str">
        <f>TEXT(Table1[[#This Row],[Hiring Date]],"dddd")</f>
        <v>Wednesday</v>
      </c>
      <c r="V241" s="1" t="str">
        <f>TEXT(Table1[[#This Row],[Hiring Date]],"yyyy")</f>
        <v>2025</v>
      </c>
    </row>
    <row r="242" spans="1:22">
      <c r="A242" t="s">
        <v>1223</v>
      </c>
      <c r="B242">
        <v>32</v>
      </c>
      <c r="C242">
        <v>1259</v>
      </c>
      <c r="D242" t="s">
        <v>14</v>
      </c>
      <c r="E242" t="s">
        <v>1497</v>
      </c>
      <c r="F242" t="s">
        <v>1496</v>
      </c>
      <c r="G242">
        <v>95</v>
      </c>
      <c r="H242">
        <v>3</v>
      </c>
      <c r="I242">
        <v>1</v>
      </c>
      <c r="J242" t="s">
        <v>1484</v>
      </c>
      <c r="K242" t="s">
        <v>1485</v>
      </c>
      <c r="L242">
        <v>2</v>
      </c>
      <c r="M242" t="s">
        <v>12</v>
      </c>
      <c r="N242">
        <v>1</v>
      </c>
      <c r="O242" t="s">
        <v>13</v>
      </c>
      <c r="P242">
        <v>1</v>
      </c>
      <c r="Q242" s="4">
        <v>45647</v>
      </c>
      <c r="R242" s="4"/>
      <c r="S242" t="str">
        <f>TEXT(Table1[[#This Row],[Hiring Date]],"mmmm")</f>
        <v>December</v>
      </c>
      <c r="T242" s="1">
        <f>COUNTIF(S:S,Table1[[#This Row],[Months List]])</f>
        <v>0</v>
      </c>
      <c r="U242" t="str">
        <f>TEXT(Table1[[#This Row],[Hiring Date]],"dddd")</f>
        <v>Saturday</v>
      </c>
      <c r="V242" s="1" t="str">
        <f>TEXT(Table1[[#This Row],[Hiring Date]],"yyyy")</f>
        <v>2024</v>
      </c>
    </row>
    <row r="243" spans="1:22">
      <c r="A243" t="s">
        <v>1224</v>
      </c>
      <c r="B243">
        <v>26</v>
      </c>
      <c r="C243">
        <v>786</v>
      </c>
      <c r="D243" t="s">
        <v>14</v>
      </c>
      <c r="E243" t="s">
        <v>1495</v>
      </c>
      <c r="F243" t="s">
        <v>1496</v>
      </c>
      <c r="G243">
        <v>76</v>
      </c>
      <c r="H243">
        <v>3</v>
      </c>
      <c r="I243">
        <v>1</v>
      </c>
      <c r="J243" t="s">
        <v>1484</v>
      </c>
      <c r="K243" t="s">
        <v>1485</v>
      </c>
      <c r="L243">
        <v>4</v>
      </c>
      <c r="M243" t="s">
        <v>12</v>
      </c>
      <c r="N243">
        <v>1</v>
      </c>
      <c r="O243" t="s">
        <v>13</v>
      </c>
      <c r="P243">
        <v>7</v>
      </c>
      <c r="Q243" s="4">
        <v>45673</v>
      </c>
      <c r="R243" s="4"/>
      <c r="S243" t="str">
        <f>TEXT(Table1[[#This Row],[Hiring Date]],"mmmm")</f>
        <v>January</v>
      </c>
      <c r="T243" s="1">
        <f>COUNTIF(S:S,Table1[[#This Row],[Months List]])</f>
        <v>0</v>
      </c>
      <c r="U243" t="str">
        <f>TEXT(Table1[[#This Row],[Hiring Date]],"dddd")</f>
        <v>Thursday</v>
      </c>
      <c r="V243" s="1" t="str">
        <f>TEXT(Table1[[#This Row],[Hiring Date]],"yyyy")</f>
        <v>2025</v>
      </c>
    </row>
    <row r="244" spans="1:22">
      <c r="A244" t="s">
        <v>1225</v>
      </c>
      <c r="B244">
        <v>55</v>
      </c>
      <c r="C244">
        <v>1441</v>
      </c>
      <c r="D244" t="s">
        <v>14</v>
      </c>
      <c r="E244" t="s">
        <v>1501</v>
      </c>
      <c r="F244" t="s">
        <v>1496</v>
      </c>
      <c r="G244">
        <v>94</v>
      </c>
      <c r="H244">
        <v>2</v>
      </c>
      <c r="I244">
        <v>1</v>
      </c>
      <c r="J244" t="s">
        <v>1476</v>
      </c>
      <c r="K244" t="s">
        <v>1477</v>
      </c>
      <c r="L244">
        <v>2</v>
      </c>
      <c r="M244" t="s">
        <v>16</v>
      </c>
      <c r="N244">
        <v>5</v>
      </c>
      <c r="O244" t="s">
        <v>13</v>
      </c>
      <c r="P244">
        <v>8</v>
      </c>
      <c r="Q244" s="4">
        <v>45828</v>
      </c>
      <c r="R244" s="4"/>
      <c r="S244" t="str">
        <f>TEXT(Table1[[#This Row],[Hiring Date]],"mmmm")</f>
        <v>June</v>
      </c>
      <c r="T244" s="1">
        <f>COUNTIF(S:S,Table1[[#This Row],[Months List]])</f>
        <v>0</v>
      </c>
      <c r="U244" t="str">
        <f>TEXT(Table1[[#This Row],[Hiring Date]],"dddd")</f>
        <v>Friday</v>
      </c>
      <c r="V244" s="1" t="str">
        <f>TEXT(Table1[[#This Row],[Hiring Date]],"yyyy")</f>
        <v>2025</v>
      </c>
    </row>
    <row r="245" spans="1:22">
      <c r="A245" t="s">
        <v>1226</v>
      </c>
      <c r="B245">
        <v>34</v>
      </c>
      <c r="C245">
        <v>1157</v>
      </c>
      <c r="D245" t="s">
        <v>14</v>
      </c>
      <c r="E245" t="s">
        <v>1495</v>
      </c>
      <c r="F245" t="s">
        <v>1496</v>
      </c>
      <c r="G245">
        <v>57</v>
      </c>
      <c r="H245">
        <v>2</v>
      </c>
      <c r="I245">
        <v>2</v>
      </c>
      <c r="J245" t="s">
        <v>1484</v>
      </c>
      <c r="K245" t="s">
        <v>1485</v>
      </c>
      <c r="L245">
        <v>4</v>
      </c>
      <c r="M245" t="s">
        <v>15</v>
      </c>
      <c r="N245">
        <v>1</v>
      </c>
      <c r="O245" t="s">
        <v>13</v>
      </c>
      <c r="P245">
        <v>15</v>
      </c>
      <c r="Q245" s="4">
        <v>45699</v>
      </c>
      <c r="R245" s="4"/>
      <c r="S245" t="str">
        <f>TEXT(Table1[[#This Row],[Hiring Date]],"mmmm")</f>
        <v>February</v>
      </c>
      <c r="T245" s="1">
        <f>COUNTIF(S:S,Table1[[#This Row],[Months List]])</f>
        <v>0</v>
      </c>
      <c r="U245" t="str">
        <f>TEXT(Table1[[#This Row],[Hiring Date]],"dddd")</f>
        <v>Tuesday</v>
      </c>
      <c r="V245" s="1" t="str">
        <f>TEXT(Table1[[#This Row],[Hiring Date]],"yyyy")</f>
        <v>2025</v>
      </c>
    </row>
    <row r="246" spans="1:22">
      <c r="A246" t="s">
        <v>129</v>
      </c>
      <c r="B246">
        <v>34</v>
      </c>
      <c r="C246">
        <v>658</v>
      </c>
      <c r="D246" t="s">
        <v>14</v>
      </c>
      <c r="E246" t="s">
        <v>1497</v>
      </c>
      <c r="F246" t="s">
        <v>1496</v>
      </c>
      <c r="G246">
        <v>66</v>
      </c>
      <c r="H246">
        <v>1</v>
      </c>
      <c r="I246">
        <v>2</v>
      </c>
      <c r="J246" t="s">
        <v>1484</v>
      </c>
      <c r="K246" t="s">
        <v>1485</v>
      </c>
      <c r="L246">
        <v>3</v>
      </c>
      <c r="M246" t="s">
        <v>12</v>
      </c>
      <c r="N246">
        <v>1</v>
      </c>
      <c r="O246" t="s">
        <v>10</v>
      </c>
      <c r="P246">
        <v>9</v>
      </c>
      <c r="Q246" s="4">
        <v>45774</v>
      </c>
      <c r="R246" s="4"/>
      <c r="S246" t="str">
        <f>TEXT(Table1[[#This Row],[Hiring Date]],"mmmm")</f>
        <v>April</v>
      </c>
      <c r="T246" s="1">
        <f>COUNTIF(S:S,Table1[[#This Row],[Months List]])</f>
        <v>0</v>
      </c>
      <c r="U246" t="str">
        <f>TEXT(Table1[[#This Row],[Hiring Date]],"dddd")</f>
        <v>Sunday</v>
      </c>
      <c r="V246" s="1" t="str">
        <f>TEXT(Table1[[#This Row],[Hiring Date]],"yyyy")</f>
        <v>2025</v>
      </c>
    </row>
    <row r="247" spans="1:22">
      <c r="A247" t="s">
        <v>1227</v>
      </c>
      <c r="B247">
        <v>60</v>
      </c>
      <c r="C247">
        <v>370</v>
      </c>
      <c r="D247" t="s">
        <v>14</v>
      </c>
      <c r="E247" t="s">
        <v>1495</v>
      </c>
      <c r="F247" t="s">
        <v>1496</v>
      </c>
      <c r="G247">
        <v>92</v>
      </c>
      <c r="H247">
        <v>1</v>
      </c>
      <c r="I247">
        <v>3</v>
      </c>
      <c r="J247" t="s">
        <v>1478</v>
      </c>
      <c r="K247" t="s">
        <v>1479</v>
      </c>
      <c r="L247">
        <v>4</v>
      </c>
      <c r="M247" t="s">
        <v>16</v>
      </c>
      <c r="N247">
        <v>3</v>
      </c>
      <c r="O247" t="s">
        <v>13</v>
      </c>
      <c r="P247">
        <v>19</v>
      </c>
      <c r="Q247" s="4">
        <v>45771</v>
      </c>
      <c r="R247" s="4"/>
      <c r="S247" t="str">
        <f>TEXT(Table1[[#This Row],[Hiring Date]],"mmmm")</f>
        <v>April</v>
      </c>
      <c r="T247" s="1">
        <f>COUNTIF(S:S,Table1[[#This Row],[Months List]])</f>
        <v>0</v>
      </c>
      <c r="U247" t="str">
        <f>TEXT(Table1[[#This Row],[Hiring Date]],"dddd")</f>
        <v>Thursday</v>
      </c>
      <c r="V247" s="1" t="str">
        <f>TEXT(Table1[[#This Row],[Hiring Date]],"yyyy")</f>
        <v>2025</v>
      </c>
    </row>
    <row r="248" spans="1:22">
      <c r="A248" t="s">
        <v>1228</v>
      </c>
      <c r="B248">
        <v>33</v>
      </c>
      <c r="C248">
        <v>267</v>
      </c>
      <c r="D248" t="s">
        <v>14</v>
      </c>
      <c r="E248" t="s">
        <v>1495</v>
      </c>
      <c r="F248" t="s">
        <v>1496</v>
      </c>
      <c r="G248">
        <v>79</v>
      </c>
      <c r="H248">
        <v>4</v>
      </c>
      <c r="I248">
        <v>1</v>
      </c>
      <c r="J248" t="s">
        <v>1484</v>
      </c>
      <c r="K248" t="s">
        <v>1485</v>
      </c>
      <c r="L248">
        <v>2</v>
      </c>
      <c r="M248" t="s">
        <v>15</v>
      </c>
      <c r="N248">
        <v>1</v>
      </c>
      <c r="O248" t="s">
        <v>13</v>
      </c>
      <c r="P248">
        <v>14</v>
      </c>
      <c r="Q248" s="4">
        <v>45789</v>
      </c>
      <c r="R248" s="4"/>
      <c r="S248" t="str">
        <f>TEXT(Table1[[#This Row],[Hiring Date]],"mmmm")</f>
        <v>May</v>
      </c>
      <c r="T248" s="1">
        <f>COUNTIF(S:S,Table1[[#This Row],[Months List]])</f>
        <v>0</v>
      </c>
      <c r="U248" t="str">
        <f>TEXT(Table1[[#This Row],[Hiring Date]],"dddd")</f>
        <v>Monday</v>
      </c>
      <c r="V248" s="1" t="str">
        <f>TEXT(Table1[[#This Row],[Hiring Date]],"yyyy")</f>
        <v>2025</v>
      </c>
    </row>
    <row r="249" spans="1:22">
      <c r="A249" t="s">
        <v>1229</v>
      </c>
      <c r="B249">
        <v>37</v>
      </c>
      <c r="C249">
        <v>1278</v>
      </c>
      <c r="D249" t="s">
        <v>11</v>
      </c>
      <c r="E249" t="s">
        <v>1495</v>
      </c>
      <c r="F249" t="s">
        <v>1496</v>
      </c>
      <c r="G249">
        <v>31</v>
      </c>
      <c r="H249">
        <v>1</v>
      </c>
      <c r="I249">
        <v>2</v>
      </c>
      <c r="J249" t="s">
        <v>1474</v>
      </c>
      <c r="K249" t="s">
        <v>1475</v>
      </c>
      <c r="L249">
        <v>4</v>
      </c>
      <c r="M249" t="s">
        <v>16</v>
      </c>
      <c r="N249">
        <v>1</v>
      </c>
      <c r="O249" t="s">
        <v>13</v>
      </c>
      <c r="P249">
        <v>6</v>
      </c>
      <c r="Q249" s="4">
        <v>45750</v>
      </c>
      <c r="R249" s="4"/>
      <c r="S249" t="str">
        <f>TEXT(Table1[[#This Row],[Hiring Date]],"mmmm")</f>
        <v>April</v>
      </c>
      <c r="T249" s="1">
        <f>COUNTIF(S:S,Table1[[#This Row],[Months List]])</f>
        <v>0</v>
      </c>
      <c r="U249" t="str">
        <f>TEXT(Table1[[#This Row],[Hiring Date]],"dddd")</f>
        <v>Thursday</v>
      </c>
      <c r="V249" s="1" t="str">
        <f>TEXT(Table1[[#This Row],[Hiring Date]],"yyyy")</f>
        <v>2025</v>
      </c>
    </row>
    <row r="250" spans="1:22">
      <c r="A250" t="s">
        <v>1230</v>
      </c>
      <c r="B250">
        <v>34</v>
      </c>
      <c r="C250">
        <v>678</v>
      </c>
      <c r="D250" t="s">
        <v>14</v>
      </c>
      <c r="E250" t="s">
        <v>1497</v>
      </c>
      <c r="F250" t="s">
        <v>1499</v>
      </c>
      <c r="G250">
        <v>35</v>
      </c>
      <c r="H250">
        <v>2</v>
      </c>
      <c r="I250">
        <v>1</v>
      </c>
      <c r="J250" t="s">
        <v>1476</v>
      </c>
      <c r="K250" t="s">
        <v>1477</v>
      </c>
      <c r="L250">
        <v>4</v>
      </c>
      <c r="M250" t="s">
        <v>15</v>
      </c>
      <c r="N250">
        <v>1</v>
      </c>
      <c r="O250" t="s">
        <v>13</v>
      </c>
      <c r="P250">
        <v>10</v>
      </c>
      <c r="Q250" s="4">
        <v>45707</v>
      </c>
      <c r="R250" s="4"/>
      <c r="S250" t="str">
        <f>TEXT(Table1[[#This Row],[Hiring Date]],"mmmm")</f>
        <v>February</v>
      </c>
      <c r="T250" s="1">
        <f>COUNTIF(S:S,Table1[[#This Row],[Months List]])</f>
        <v>0</v>
      </c>
      <c r="U250" t="str">
        <f>TEXT(Table1[[#This Row],[Hiring Date]],"dddd")</f>
        <v>Wednesday</v>
      </c>
      <c r="V250" s="1" t="str">
        <f>TEXT(Table1[[#This Row],[Hiring Date]],"yyyy")</f>
        <v>2025</v>
      </c>
    </row>
    <row r="251" spans="1:22">
      <c r="A251" t="s">
        <v>1231</v>
      </c>
      <c r="B251">
        <v>23</v>
      </c>
      <c r="C251">
        <v>427</v>
      </c>
      <c r="D251" t="s">
        <v>11</v>
      </c>
      <c r="E251" t="s">
        <v>1497</v>
      </c>
      <c r="F251" t="s">
        <v>1496</v>
      </c>
      <c r="G251">
        <v>99</v>
      </c>
      <c r="H251">
        <v>3</v>
      </c>
      <c r="I251">
        <v>1</v>
      </c>
      <c r="J251" t="s">
        <v>1489</v>
      </c>
      <c r="K251" t="s">
        <v>1490</v>
      </c>
      <c r="L251">
        <v>4</v>
      </c>
      <c r="M251" t="s">
        <v>16</v>
      </c>
      <c r="N251">
        <v>1</v>
      </c>
      <c r="O251" t="s">
        <v>10</v>
      </c>
      <c r="P251">
        <v>3</v>
      </c>
      <c r="Q251" s="4">
        <v>45726</v>
      </c>
      <c r="R251" s="4"/>
      <c r="S251" t="str">
        <f>TEXT(Table1[[#This Row],[Hiring Date]],"mmmm")</f>
        <v>March</v>
      </c>
      <c r="T251" s="1">
        <f>COUNTIF(S:S,Table1[[#This Row],[Months List]])</f>
        <v>0</v>
      </c>
      <c r="U251" t="str">
        <f>TEXT(Table1[[#This Row],[Hiring Date]],"dddd")</f>
        <v>Monday</v>
      </c>
      <c r="V251" s="1" t="str">
        <f>TEXT(Table1[[#This Row],[Hiring Date]],"yyyy")</f>
        <v>2025</v>
      </c>
    </row>
    <row r="252" spans="1:22">
      <c r="A252" t="s">
        <v>1232</v>
      </c>
      <c r="B252">
        <v>44</v>
      </c>
      <c r="C252">
        <v>921</v>
      </c>
      <c r="D252" t="s">
        <v>14</v>
      </c>
      <c r="E252" t="s">
        <v>1497</v>
      </c>
      <c r="F252" t="s">
        <v>1499</v>
      </c>
      <c r="G252">
        <v>96</v>
      </c>
      <c r="H252">
        <v>4</v>
      </c>
      <c r="I252">
        <v>3</v>
      </c>
      <c r="J252" t="s">
        <v>1478</v>
      </c>
      <c r="K252" t="s">
        <v>1479</v>
      </c>
      <c r="L252">
        <v>4</v>
      </c>
      <c r="M252" t="s">
        <v>15</v>
      </c>
      <c r="N252">
        <v>1</v>
      </c>
      <c r="O252" t="s">
        <v>10</v>
      </c>
      <c r="P252">
        <v>9</v>
      </c>
      <c r="Q252" s="4">
        <v>45769</v>
      </c>
      <c r="R252" s="4"/>
      <c r="S252" t="str">
        <f>TEXT(Table1[[#This Row],[Hiring Date]],"mmmm")</f>
        <v>April</v>
      </c>
      <c r="T252" s="1">
        <f>COUNTIF(S:S,Table1[[#This Row],[Months List]])</f>
        <v>0</v>
      </c>
      <c r="U252" t="str">
        <f>TEXT(Table1[[#This Row],[Hiring Date]],"dddd")</f>
        <v>Tuesday</v>
      </c>
      <c r="V252" s="1" t="str">
        <f>TEXT(Table1[[#This Row],[Hiring Date]],"yyyy")</f>
        <v>2025</v>
      </c>
    </row>
    <row r="253" spans="1:22">
      <c r="A253" t="s">
        <v>1233</v>
      </c>
      <c r="B253">
        <v>35</v>
      </c>
      <c r="C253">
        <v>146</v>
      </c>
      <c r="D253" t="s">
        <v>14</v>
      </c>
      <c r="E253" t="s">
        <v>1495</v>
      </c>
      <c r="F253" t="s">
        <v>1496</v>
      </c>
      <c r="G253">
        <v>79</v>
      </c>
      <c r="H253">
        <v>2</v>
      </c>
      <c r="I253">
        <v>1</v>
      </c>
      <c r="J253" t="s">
        <v>1476</v>
      </c>
      <c r="K253" t="s">
        <v>1477</v>
      </c>
      <c r="L253">
        <v>4</v>
      </c>
      <c r="M253" t="s">
        <v>12</v>
      </c>
      <c r="N253">
        <v>0</v>
      </c>
      <c r="O253" t="s">
        <v>10</v>
      </c>
      <c r="P253">
        <v>6</v>
      </c>
      <c r="Q253" s="4">
        <v>45777</v>
      </c>
      <c r="R253" s="4"/>
      <c r="S253" t="str">
        <f>TEXT(Table1[[#This Row],[Hiring Date]],"mmmm")</f>
        <v>April</v>
      </c>
      <c r="T253" s="1">
        <f>COUNTIF(S:S,Table1[[#This Row],[Months List]])</f>
        <v>0</v>
      </c>
      <c r="U253" t="str">
        <f>TEXT(Table1[[#This Row],[Hiring Date]],"dddd")</f>
        <v>Wednesday</v>
      </c>
      <c r="V253" s="1" t="str">
        <f>TEXT(Table1[[#This Row],[Hiring Date]],"yyyy")</f>
        <v>2025</v>
      </c>
    </row>
    <row r="254" spans="1:22">
      <c r="A254" t="s">
        <v>1234</v>
      </c>
      <c r="B254">
        <v>43</v>
      </c>
      <c r="C254">
        <v>1179</v>
      </c>
      <c r="D254" t="s">
        <v>11</v>
      </c>
      <c r="E254" t="s">
        <v>1495</v>
      </c>
      <c r="F254" t="s">
        <v>1496</v>
      </c>
      <c r="G254">
        <v>73</v>
      </c>
      <c r="H254">
        <v>3</v>
      </c>
      <c r="I254">
        <v>2</v>
      </c>
      <c r="J254" t="s">
        <v>1474</v>
      </c>
      <c r="K254" t="s">
        <v>1475</v>
      </c>
      <c r="L254">
        <v>4</v>
      </c>
      <c r="M254" t="s">
        <v>15</v>
      </c>
      <c r="N254">
        <v>1</v>
      </c>
      <c r="O254" t="s">
        <v>10</v>
      </c>
      <c r="P254">
        <v>10</v>
      </c>
      <c r="Q254" s="4">
        <v>45640</v>
      </c>
      <c r="R254" s="4"/>
      <c r="S254" t="str">
        <f>TEXT(Table1[[#This Row],[Hiring Date]],"mmmm")</f>
        <v>December</v>
      </c>
      <c r="T254" s="1">
        <f>COUNTIF(S:S,Table1[[#This Row],[Months List]])</f>
        <v>0</v>
      </c>
      <c r="U254" t="str">
        <f>TEXT(Table1[[#This Row],[Hiring Date]],"dddd")</f>
        <v>Saturday</v>
      </c>
      <c r="V254" s="1" t="str">
        <f>TEXT(Table1[[#This Row],[Hiring Date]],"yyyy")</f>
        <v>2024</v>
      </c>
    </row>
    <row r="255" spans="1:22">
      <c r="A255" t="s">
        <v>1235</v>
      </c>
      <c r="B255">
        <v>24</v>
      </c>
      <c r="C255">
        <v>581</v>
      </c>
      <c r="D255" t="s">
        <v>14</v>
      </c>
      <c r="E255" t="s">
        <v>1495</v>
      </c>
      <c r="F255" t="s">
        <v>1496</v>
      </c>
      <c r="G255">
        <v>62</v>
      </c>
      <c r="H255">
        <v>4</v>
      </c>
      <c r="I255">
        <v>1</v>
      </c>
      <c r="J255" t="s">
        <v>1476</v>
      </c>
      <c r="K255" t="s">
        <v>1477</v>
      </c>
      <c r="L255">
        <v>3</v>
      </c>
      <c r="M255" t="s">
        <v>15</v>
      </c>
      <c r="N255">
        <v>1</v>
      </c>
      <c r="O255" t="s">
        <v>13</v>
      </c>
      <c r="P255">
        <v>5</v>
      </c>
      <c r="Q255" s="4">
        <v>45750</v>
      </c>
      <c r="R255" s="4"/>
      <c r="S255" t="str">
        <f>TEXT(Table1[[#This Row],[Hiring Date]],"mmmm")</f>
        <v>April</v>
      </c>
      <c r="T255" s="1">
        <f>COUNTIF(S:S,Table1[[#This Row],[Months List]])</f>
        <v>0</v>
      </c>
      <c r="U255" t="str">
        <f>TEXT(Table1[[#This Row],[Hiring Date]],"dddd")</f>
        <v>Thursday</v>
      </c>
      <c r="V255" s="1" t="str">
        <f>TEXT(Table1[[#This Row],[Hiring Date]],"yyyy")</f>
        <v>2025</v>
      </c>
    </row>
    <row r="256" spans="1:22">
      <c r="A256" t="s">
        <v>1236</v>
      </c>
      <c r="B256">
        <v>41</v>
      </c>
      <c r="C256">
        <v>918</v>
      </c>
      <c r="D256" t="s">
        <v>11</v>
      </c>
      <c r="E256" t="s">
        <v>1498</v>
      </c>
      <c r="F256" t="s">
        <v>1496</v>
      </c>
      <c r="G256">
        <v>35</v>
      </c>
      <c r="H256">
        <v>3</v>
      </c>
      <c r="I256">
        <v>3</v>
      </c>
      <c r="J256" t="s">
        <v>1474</v>
      </c>
      <c r="K256" t="s">
        <v>1475</v>
      </c>
      <c r="L256">
        <v>3</v>
      </c>
      <c r="M256" t="s">
        <v>12</v>
      </c>
      <c r="N256">
        <v>1</v>
      </c>
      <c r="O256" t="s">
        <v>13</v>
      </c>
      <c r="P256">
        <v>10</v>
      </c>
      <c r="Q256" s="4">
        <v>45899</v>
      </c>
      <c r="R256" s="4"/>
      <c r="S256" t="str">
        <f>TEXT(Table1[[#This Row],[Hiring Date]],"mmmm")</f>
        <v>August</v>
      </c>
      <c r="T256" s="1">
        <f>COUNTIF(S:S,Table1[[#This Row],[Months List]])</f>
        <v>0</v>
      </c>
      <c r="U256" t="str">
        <f>TEXT(Table1[[#This Row],[Hiring Date]],"dddd")</f>
        <v>Saturday</v>
      </c>
      <c r="V256" s="1" t="str">
        <f>TEXT(Table1[[#This Row],[Hiring Date]],"yyyy")</f>
        <v>2025</v>
      </c>
    </row>
    <row r="257" spans="1:22">
      <c r="A257" t="s">
        <v>130</v>
      </c>
      <c r="B257">
        <v>54</v>
      </c>
      <c r="C257">
        <v>142</v>
      </c>
      <c r="D257" t="s">
        <v>17</v>
      </c>
      <c r="E257" t="s">
        <v>17</v>
      </c>
      <c r="F257" t="s">
        <v>1499</v>
      </c>
      <c r="G257">
        <v>30</v>
      </c>
      <c r="H257">
        <v>4</v>
      </c>
      <c r="I257">
        <v>4</v>
      </c>
      <c r="J257" t="s">
        <v>1482</v>
      </c>
      <c r="K257" t="s">
        <v>1483</v>
      </c>
      <c r="L257">
        <v>4</v>
      </c>
      <c r="M257" t="s">
        <v>12</v>
      </c>
      <c r="N257">
        <v>2</v>
      </c>
      <c r="O257" t="s">
        <v>10</v>
      </c>
      <c r="P257">
        <v>23</v>
      </c>
      <c r="Q257" s="4">
        <v>45742</v>
      </c>
      <c r="R257" s="4"/>
      <c r="S257" t="str">
        <f>TEXT(Table1[[#This Row],[Hiring Date]],"mmmm")</f>
        <v>March</v>
      </c>
      <c r="T257" s="1">
        <f>COUNTIF(S:S,Table1[[#This Row],[Months List]])</f>
        <v>0</v>
      </c>
      <c r="U257" t="str">
        <f>TEXT(Table1[[#This Row],[Hiring Date]],"dddd")</f>
        <v>Wednesday</v>
      </c>
      <c r="V257" s="1" t="str">
        <f>TEXT(Table1[[#This Row],[Hiring Date]],"yyyy")</f>
        <v>2025</v>
      </c>
    </row>
    <row r="258" spans="1:22">
      <c r="A258" t="s">
        <v>1237</v>
      </c>
      <c r="B258">
        <v>29</v>
      </c>
      <c r="C258">
        <v>1082</v>
      </c>
      <c r="D258" t="s">
        <v>14</v>
      </c>
      <c r="E258" t="s">
        <v>1495</v>
      </c>
      <c r="F258" t="s">
        <v>1499</v>
      </c>
      <c r="G258">
        <v>43</v>
      </c>
      <c r="H258">
        <v>3</v>
      </c>
      <c r="I258">
        <v>1</v>
      </c>
      <c r="J258" t="s">
        <v>1484</v>
      </c>
      <c r="K258" t="s">
        <v>1485</v>
      </c>
      <c r="L258">
        <v>3</v>
      </c>
      <c r="M258" t="s">
        <v>15</v>
      </c>
      <c r="N258">
        <v>9</v>
      </c>
      <c r="O258" t="s">
        <v>13</v>
      </c>
      <c r="P258">
        <v>9</v>
      </c>
      <c r="Q258" s="4">
        <v>45660</v>
      </c>
      <c r="R258" s="4"/>
      <c r="S258" t="str">
        <f>TEXT(Table1[[#This Row],[Hiring Date]],"mmmm")</f>
        <v>January</v>
      </c>
      <c r="T258" s="1">
        <f>COUNTIF(S:S,Table1[[#This Row],[Months List]])</f>
        <v>0</v>
      </c>
      <c r="U258" t="str">
        <f>TEXT(Table1[[#This Row],[Hiring Date]],"dddd")</f>
        <v>Friday</v>
      </c>
      <c r="V258" s="1" t="str">
        <f>TEXT(Table1[[#This Row],[Hiring Date]],"yyyy")</f>
        <v>2025</v>
      </c>
    </row>
    <row r="259" spans="1:22">
      <c r="A259" t="s">
        <v>1238</v>
      </c>
      <c r="B259">
        <v>36</v>
      </c>
      <c r="C259">
        <v>530</v>
      </c>
      <c r="D259" t="s">
        <v>11</v>
      </c>
      <c r="E259" t="s">
        <v>1497</v>
      </c>
      <c r="F259" t="s">
        <v>1499</v>
      </c>
      <c r="G259">
        <v>51</v>
      </c>
      <c r="H259">
        <v>3</v>
      </c>
      <c r="I259">
        <v>2</v>
      </c>
      <c r="J259" t="s">
        <v>1489</v>
      </c>
      <c r="K259" t="s">
        <v>1490</v>
      </c>
      <c r="L259">
        <v>4</v>
      </c>
      <c r="M259" t="s">
        <v>12</v>
      </c>
      <c r="N259">
        <v>3</v>
      </c>
      <c r="O259" t="s">
        <v>13</v>
      </c>
      <c r="P259">
        <v>17</v>
      </c>
      <c r="Q259" s="4">
        <v>45974</v>
      </c>
      <c r="R259" s="4"/>
      <c r="S259" t="str">
        <f>TEXT(Table1[[#This Row],[Hiring Date]],"mmmm")</f>
        <v>November</v>
      </c>
      <c r="T259" s="1">
        <f>COUNTIF(S:S,Table1[[#This Row],[Months List]])</f>
        <v>0</v>
      </c>
      <c r="U259" t="str">
        <f>TEXT(Table1[[#This Row],[Hiring Date]],"dddd")</f>
        <v>Thursday</v>
      </c>
      <c r="V259" s="1" t="str">
        <f>TEXT(Table1[[#This Row],[Hiring Date]],"yyyy")</f>
        <v>2025</v>
      </c>
    </row>
    <row r="260" spans="1:22">
      <c r="A260" t="s">
        <v>1239</v>
      </c>
      <c r="B260">
        <v>45</v>
      </c>
      <c r="C260">
        <v>1238</v>
      </c>
      <c r="D260" t="s">
        <v>14</v>
      </c>
      <c r="E260" t="s">
        <v>1497</v>
      </c>
      <c r="F260" t="s">
        <v>1496</v>
      </c>
      <c r="G260">
        <v>74</v>
      </c>
      <c r="H260">
        <v>2</v>
      </c>
      <c r="I260">
        <v>3</v>
      </c>
      <c r="J260" t="s">
        <v>1478</v>
      </c>
      <c r="K260" t="s">
        <v>1479</v>
      </c>
      <c r="L260">
        <v>3</v>
      </c>
      <c r="M260" t="s">
        <v>15</v>
      </c>
      <c r="N260">
        <v>3</v>
      </c>
      <c r="O260" t="s">
        <v>13</v>
      </c>
      <c r="P260">
        <v>25</v>
      </c>
      <c r="Q260" s="4">
        <v>45750</v>
      </c>
      <c r="R260" s="4"/>
      <c r="S260" t="str">
        <f>TEXT(Table1[[#This Row],[Hiring Date]],"mmmm")</f>
        <v>April</v>
      </c>
      <c r="T260" s="1">
        <f>COUNTIF(S:S,Table1[[#This Row],[Months List]])</f>
        <v>0</v>
      </c>
      <c r="U260" t="str">
        <f>TEXT(Table1[[#This Row],[Hiring Date]],"dddd")</f>
        <v>Thursday</v>
      </c>
      <c r="V260" s="1" t="str">
        <f>TEXT(Table1[[#This Row],[Hiring Date]],"yyyy")</f>
        <v>2025</v>
      </c>
    </row>
    <row r="261" spans="1:22">
      <c r="A261" t="s">
        <v>1240</v>
      </c>
      <c r="B261">
        <v>24</v>
      </c>
      <c r="C261">
        <v>240</v>
      </c>
      <c r="D261" t="s">
        <v>17</v>
      </c>
      <c r="E261" t="s">
        <v>17</v>
      </c>
      <c r="F261" t="s">
        <v>1496</v>
      </c>
      <c r="G261">
        <v>58</v>
      </c>
      <c r="H261">
        <v>1</v>
      </c>
      <c r="I261">
        <v>1</v>
      </c>
      <c r="J261" t="s">
        <v>1486</v>
      </c>
      <c r="K261" t="s">
        <v>17</v>
      </c>
      <c r="L261">
        <v>3</v>
      </c>
      <c r="M261" t="s">
        <v>15</v>
      </c>
      <c r="N261">
        <v>1</v>
      </c>
      <c r="O261" t="s">
        <v>13</v>
      </c>
      <c r="P261">
        <v>1</v>
      </c>
      <c r="Q261" s="4">
        <v>45877</v>
      </c>
      <c r="R261" s="4"/>
      <c r="S261" t="str">
        <f>TEXT(Table1[[#This Row],[Hiring Date]],"mmmm")</f>
        <v>August</v>
      </c>
      <c r="T261" s="1">
        <f>COUNTIF(S:S,Table1[[#This Row],[Months List]])</f>
        <v>0</v>
      </c>
      <c r="U261" t="str">
        <f>TEXT(Table1[[#This Row],[Hiring Date]],"dddd")</f>
        <v>Friday</v>
      </c>
      <c r="V261" s="1" t="str">
        <f>TEXT(Table1[[#This Row],[Hiring Date]],"yyyy")</f>
        <v>2025</v>
      </c>
    </row>
    <row r="262" spans="1:22">
      <c r="A262" t="s">
        <v>1241</v>
      </c>
      <c r="B262">
        <v>47</v>
      </c>
      <c r="C262">
        <v>1093</v>
      </c>
      <c r="D262" t="s">
        <v>11</v>
      </c>
      <c r="E262" t="s">
        <v>1497</v>
      </c>
      <c r="F262" t="s">
        <v>1496</v>
      </c>
      <c r="G262">
        <v>82</v>
      </c>
      <c r="H262">
        <v>1</v>
      </c>
      <c r="I262">
        <v>4</v>
      </c>
      <c r="J262" t="s">
        <v>1474</v>
      </c>
      <c r="K262" t="s">
        <v>1475</v>
      </c>
      <c r="L262">
        <v>3</v>
      </c>
      <c r="M262" t="s">
        <v>15</v>
      </c>
      <c r="N262">
        <v>7</v>
      </c>
      <c r="O262" t="s">
        <v>13</v>
      </c>
      <c r="P262">
        <v>25</v>
      </c>
      <c r="Q262" s="4">
        <v>45859</v>
      </c>
      <c r="R262" s="4"/>
      <c r="S262" t="str">
        <f>TEXT(Table1[[#This Row],[Hiring Date]],"mmmm")</f>
        <v>July</v>
      </c>
      <c r="T262" s="1">
        <f>COUNTIF(S:S,Table1[[#This Row],[Months List]])</f>
        <v>0</v>
      </c>
      <c r="U262" t="str">
        <f>TEXT(Table1[[#This Row],[Hiring Date]],"dddd")</f>
        <v>Monday</v>
      </c>
      <c r="V262" s="1" t="str">
        <f>TEXT(Table1[[#This Row],[Hiring Date]],"yyyy")</f>
        <v>2025</v>
      </c>
    </row>
    <row r="263" spans="1:22">
      <c r="A263" t="s">
        <v>1242</v>
      </c>
      <c r="B263">
        <v>26</v>
      </c>
      <c r="C263">
        <v>390</v>
      </c>
      <c r="D263" t="s">
        <v>14</v>
      </c>
      <c r="E263" t="s">
        <v>1495</v>
      </c>
      <c r="F263" t="s">
        <v>1496</v>
      </c>
      <c r="G263">
        <v>62</v>
      </c>
      <c r="H263">
        <v>1</v>
      </c>
      <c r="I263">
        <v>1</v>
      </c>
      <c r="J263" t="s">
        <v>1484</v>
      </c>
      <c r="K263" t="s">
        <v>1485</v>
      </c>
      <c r="L263">
        <v>3</v>
      </c>
      <c r="M263" t="s">
        <v>15</v>
      </c>
      <c r="N263">
        <v>1</v>
      </c>
      <c r="O263" t="s">
        <v>13</v>
      </c>
      <c r="P263">
        <v>3</v>
      </c>
      <c r="Q263" s="4">
        <v>45865</v>
      </c>
      <c r="R263" s="4"/>
      <c r="S263" t="str">
        <f>TEXT(Table1[[#This Row],[Hiring Date]],"mmmm")</f>
        <v>July</v>
      </c>
      <c r="T263" s="1">
        <f>COUNTIF(S:S,Table1[[#This Row],[Months List]])</f>
        <v>0</v>
      </c>
      <c r="U263" t="str">
        <f>TEXT(Table1[[#This Row],[Hiring Date]],"dddd")</f>
        <v>Sunday</v>
      </c>
      <c r="V263" s="1" t="str">
        <f>TEXT(Table1[[#This Row],[Hiring Date]],"yyyy")</f>
        <v>2025</v>
      </c>
    </row>
    <row r="264" spans="1:22">
      <c r="A264" t="s">
        <v>1243</v>
      </c>
      <c r="B264">
        <v>45</v>
      </c>
      <c r="C264">
        <v>1005</v>
      </c>
      <c r="D264" t="s">
        <v>14</v>
      </c>
      <c r="E264" t="s">
        <v>1501</v>
      </c>
      <c r="F264" t="s">
        <v>1499</v>
      </c>
      <c r="G264">
        <v>48</v>
      </c>
      <c r="H264">
        <v>2</v>
      </c>
      <c r="I264">
        <v>4</v>
      </c>
      <c r="J264" t="s">
        <v>1487</v>
      </c>
      <c r="K264" t="s">
        <v>1488</v>
      </c>
      <c r="L264">
        <v>2</v>
      </c>
      <c r="M264" t="s">
        <v>12</v>
      </c>
      <c r="N264">
        <v>1</v>
      </c>
      <c r="O264" t="s">
        <v>13</v>
      </c>
      <c r="P264">
        <v>21</v>
      </c>
      <c r="Q264" s="4">
        <v>45908</v>
      </c>
      <c r="R264" s="4"/>
      <c r="S264" t="str">
        <f>TEXT(Table1[[#This Row],[Hiring Date]],"mmmm")</f>
        <v>September</v>
      </c>
      <c r="T264" s="1">
        <f>COUNTIF(S:S,Table1[[#This Row],[Months List]])</f>
        <v>0</v>
      </c>
      <c r="U264" t="str">
        <f>TEXT(Table1[[#This Row],[Hiring Date]],"dddd")</f>
        <v>Monday</v>
      </c>
      <c r="V264" s="1" t="str">
        <f>TEXT(Table1[[#This Row],[Hiring Date]],"yyyy")</f>
        <v>2025</v>
      </c>
    </row>
    <row r="265" spans="1:22">
      <c r="A265" t="s">
        <v>1244</v>
      </c>
      <c r="B265">
        <v>32</v>
      </c>
      <c r="C265">
        <v>585</v>
      </c>
      <c r="D265" t="s">
        <v>14</v>
      </c>
      <c r="E265" t="s">
        <v>1497</v>
      </c>
      <c r="F265" t="s">
        <v>1496</v>
      </c>
      <c r="G265">
        <v>56</v>
      </c>
      <c r="H265">
        <v>3</v>
      </c>
      <c r="I265">
        <v>1</v>
      </c>
      <c r="J265" t="s">
        <v>1476</v>
      </c>
      <c r="K265" t="s">
        <v>1477</v>
      </c>
      <c r="L265">
        <v>3</v>
      </c>
      <c r="M265" t="s">
        <v>15</v>
      </c>
      <c r="N265">
        <v>6</v>
      </c>
      <c r="O265" t="s">
        <v>13</v>
      </c>
      <c r="P265">
        <v>10</v>
      </c>
      <c r="Q265" s="4">
        <v>45813</v>
      </c>
      <c r="R265" s="4"/>
      <c r="S265" t="str">
        <f>TEXT(Table1[[#This Row],[Hiring Date]],"mmmm")</f>
        <v>June</v>
      </c>
      <c r="T265" s="1">
        <f>COUNTIF(S:S,Table1[[#This Row],[Months List]])</f>
        <v>0</v>
      </c>
      <c r="U265" t="str">
        <f>TEXT(Table1[[#This Row],[Hiring Date]],"dddd")</f>
        <v>Thursday</v>
      </c>
      <c r="V265" s="1" t="str">
        <f>TEXT(Table1[[#This Row],[Hiring Date]],"yyyy")</f>
        <v>2025</v>
      </c>
    </row>
    <row r="266" spans="1:22">
      <c r="A266" t="s">
        <v>1245</v>
      </c>
      <c r="B266">
        <v>31</v>
      </c>
      <c r="C266">
        <v>741</v>
      </c>
      <c r="D266" t="s">
        <v>14</v>
      </c>
      <c r="E266" t="s">
        <v>1497</v>
      </c>
      <c r="F266" t="s">
        <v>1496</v>
      </c>
      <c r="G266">
        <v>69</v>
      </c>
      <c r="H266">
        <v>3</v>
      </c>
      <c r="I266">
        <v>1</v>
      </c>
      <c r="J266" t="s">
        <v>1484</v>
      </c>
      <c r="K266" t="s">
        <v>1485</v>
      </c>
      <c r="L266">
        <v>3</v>
      </c>
      <c r="M266" t="s">
        <v>15</v>
      </c>
      <c r="N266">
        <v>1</v>
      </c>
      <c r="O266" t="s">
        <v>13</v>
      </c>
      <c r="P266">
        <v>6</v>
      </c>
      <c r="Q266" s="4">
        <v>45849</v>
      </c>
      <c r="R266" s="4"/>
      <c r="S266" t="str">
        <f>TEXT(Table1[[#This Row],[Hiring Date]],"mmmm")</f>
        <v>July</v>
      </c>
      <c r="T266" s="1">
        <f>COUNTIF(S:S,Table1[[#This Row],[Months List]])</f>
        <v>0</v>
      </c>
      <c r="U266" t="str">
        <f>TEXT(Table1[[#This Row],[Hiring Date]],"dddd")</f>
        <v>Friday</v>
      </c>
      <c r="V266" s="1" t="str">
        <f>TEXT(Table1[[#This Row],[Hiring Date]],"yyyy")</f>
        <v>2025</v>
      </c>
    </row>
    <row r="267" spans="1:22">
      <c r="A267" t="s">
        <v>1246</v>
      </c>
      <c r="B267">
        <v>41</v>
      </c>
      <c r="C267">
        <v>552</v>
      </c>
      <c r="D267" t="s">
        <v>17</v>
      </c>
      <c r="E267" t="s">
        <v>17</v>
      </c>
      <c r="F267" t="s">
        <v>1496</v>
      </c>
      <c r="G267">
        <v>60</v>
      </c>
      <c r="H267">
        <v>1</v>
      </c>
      <c r="I267">
        <v>2</v>
      </c>
      <c r="J267" t="s">
        <v>1486</v>
      </c>
      <c r="K267" t="s">
        <v>17</v>
      </c>
      <c r="L267">
        <v>2</v>
      </c>
      <c r="M267" t="s">
        <v>15</v>
      </c>
      <c r="N267">
        <v>6</v>
      </c>
      <c r="O267" t="s">
        <v>13</v>
      </c>
      <c r="P267">
        <v>10</v>
      </c>
      <c r="Q267" s="4">
        <v>45804</v>
      </c>
      <c r="R267" s="4"/>
      <c r="S267" t="str">
        <f>TEXT(Table1[[#This Row],[Hiring Date]],"mmmm")</f>
        <v>May</v>
      </c>
      <c r="T267" s="1">
        <f>COUNTIF(S:S,Table1[[#This Row],[Months List]])</f>
        <v>0</v>
      </c>
      <c r="U267" t="str">
        <f>TEXT(Table1[[#This Row],[Hiring Date]],"dddd")</f>
        <v>Tuesday</v>
      </c>
      <c r="V267" s="1" t="str">
        <f>TEXT(Table1[[#This Row],[Hiring Date]],"yyyy")</f>
        <v>2025</v>
      </c>
    </row>
    <row r="268" spans="1:22">
      <c r="A268" t="s">
        <v>131</v>
      </c>
      <c r="B268">
        <v>24</v>
      </c>
      <c r="C268">
        <v>1127</v>
      </c>
      <c r="D268" t="s">
        <v>14</v>
      </c>
      <c r="E268" t="s">
        <v>1497</v>
      </c>
      <c r="F268" t="s">
        <v>1496</v>
      </c>
      <c r="G268">
        <v>52</v>
      </c>
      <c r="H268">
        <v>3</v>
      </c>
      <c r="I268">
        <v>1</v>
      </c>
      <c r="J268" t="s">
        <v>1484</v>
      </c>
      <c r="K268" t="s">
        <v>1485</v>
      </c>
      <c r="L268">
        <v>3</v>
      </c>
      <c r="M268" t="s">
        <v>15</v>
      </c>
      <c r="N268">
        <v>0</v>
      </c>
      <c r="O268" t="s">
        <v>13</v>
      </c>
      <c r="P268">
        <v>6</v>
      </c>
      <c r="Q268" s="4">
        <v>45665</v>
      </c>
      <c r="R268" s="4"/>
      <c r="S268" t="str">
        <f>TEXT(Table1[[#This Row],[Hiring Date]],"mmmm")</f>
        <v>January</v>
      </c>
      <c r="T268" s="1">
        <f>COUNTIF(S:S,Table1[[#This Row],[Months List]])</f>
        <v>0</v>
      </c>
      <c r="U268" t="str">
        <f>TEXT(Table1[[#This Row],[Hiring Date]],"dddd")</f>
        <v>Wednesday</v>
      </c>
      <c r="V268" s="1" t="str">
        <f>TEXT(Table1[[#This Row],[Hiring Date]],"yyyy")</f>
        <v>2025</v>
      </c>
    </row>
    <row r="269" spans="1:22">
      <c r="A269" t="s">
        <v>1247</v>
      </c>
      <c r="B269">
        <v>40</v>
      </c>
      <c r="C269">
        <v>369</v>
      </c>
      <c r="D269" t="s">
        <v>14</v>
      </c>
      <c r="E269" t="s">
        <v>1497</v>
      </c>
      <c r="F269" t="s">
        <v>1499</v>
      </c>
      <c r="G269">
        <v>92</v>
      </c>
      <c r="H269">
        <v>3</v>
      </c>
      <c r="I269">
        <v>2</v>
      </c>
      <c r="J269" t="s">
        <v>1480</v>
      </c>
      <c r="K269" t="s">
        <v>1481</v>
      </c>
      <c r="L269">
        <v>1</v>
      </c>
      <c r="M269" t="s">
        <v>15</v>
      </c>
      <c r="N269">
        <v>2</v>
      </c>
      <c r="O269" t="s">
        <v>10</v>
      </c>
      <c r="P269">
        <v>18</v>
      </c>
      <c r="Q269" s="4">
        <v>45973</v>
      </c>
      <c r="R269" s="4"/>
      <c r="S269" t="str">
        <f>TEXT(Table1[[#This Row],[Hiring Date]],"mmmm")</f>
        <v>November</v>
      </c>
      <c r="T269" s="1">
        <f>COUNTIF(S:S,Table1[[#This Row],[Months List]])</f>
        <v>0</v>
      </c>
      <c r="U269" t="str">
        <f>TEXT(Table1[[#This Row],[Hiring Date]],"dddd")</f>
        <v>Wednesday</v>
      </c>
      <c r="V269" s="1" t="str">
        <f>TEXT(Table1[[#This Row],[Hiring Date]],"yyyy")</f>
        <v>2025</v>
      </c>
    </row>
    <row r="270" spans="1:22">
      <c r="A270" t="s">
        <v>1248</v>
      </c>
      <c r="B270">
        <v>24</v>
      </c>
      <c r="C270">
        <v>506</v>
      </c>
      <c r="D270" t="s">
        <v>14</v>
      </c>
      <c r="E270" t="s">
        <v>1495</v>
      </c>
      <c r="F270" t="s">
        <v>1496</v>
      </c>
      <c r="G270">
        <v>91</v>
      </c>
      <c r="H270">
        <v>3</v>
      </c>
      <c r="I270">
        <v>1</v>
      </c>
      <c r="J270" t="s">
        <v>1484</v>
      </c>
      <c r="K270" t="s">
        <v>1485</v>
      </c>
      <c r="L270">
        <v>1</v>
      </c>
      <c r="M270" t="s">
        <v>16</v>
      </c>
      <c r="N270">
        <v>1</v>
      </c>
      <c r="O270" t="s">
        <v>13</v>
      </c>
      <c r="P270">
        <v>6</v>
      </c>
      <c r="Q270" s="4">
        <v>45708</v>
      </c>
      <c r="R270" s="4"/>
      <c r="S270" t="str">
        <f>TEXT(Table1[[#This Row],[Hiring Date]],"mmmm")</f>
        <v>February</v>
      </c>
      <c r="T270" s="1">
        <f>COUNTIF(S:S,Table1[[#This Row],[Months List]])</f>
        <v>0</v>
      </c>
      <c r="U270" t="str">
        <f>TEXT(Table1[[#This Row],[Hiring Date]],"dddd")</f>
        <v>Thursday</v>
      </c>
      <c r="V270" s="1" t="str">
        <f>TEXT(Table1[[#This Row],[Hiring Date]],"yyyy")</f>
        <v>2025</v>
      </c>
    </row>
    <row r="271" spans="1:22">
      <c r="A271" t="s">
        <v>1249</v>
      </c>
      <c r="B271">
        <v>46</v>
      </c>
      <c r="C271">
        <v>717</v>
      </c>
      <c r="D271" t="s">
        <v>14</v>
      </c>
      <c r="E271" t="s">
        <v>1497</v>
      </c>
      <c r="F271" t="s">
        <v>1496</v>
      </c>
      <c r="G271">
        <v>34</v>
      </c>
      <c r="H271">
        <v>3</v>
      </c>
      <c r="I271">
        <v>2</v>
      </c>
      <c r="J271" t="s">
        <v>1478</v>
      </c>
      <c r="K271" t="s">
        <v>1479</v>
      </c>
      <c r="L271">
        <v>2</v>
      </c>
      <c r="M271" t="s">
        <v>12</v>
      </c>
      <c r="N271">
        <v>6</v>
      </c>
      <c r="O271" t="s">
        <v>13</v>
      </c>
      <c r="P271">
        <v>19</v>
      </c>
      <c r="Q271" s="4">
        <v>45830</v>
      </c>
      <c r="R271" s="4"/>
      <c r="S271" t="str">
        <f>TEXT(Table1[[#This Row],[Hiring Date]],"mmmm")</f>
        <v>June</v>
      </c>
      <c r="T271" s="1">
        <f>COUNTIF(S:S,Table1[[#This Row],[Months List]])</f>
        <v>0</v>
      </c>
      <c r="U271" t="str">
        <f>TEXT(Table1[[#This Row],[Hiring Date]],"dddd")</f>
        <v>Sunday</v>
      </c>
      <c r="V271" s="1" t="str">
        <f>TEXT(Table1[[#This Row],[Hiring Date]],"yyyy")</f>
        <v>2025</v>
      </c>
    </row>
    <row r="272" spans="1:22">
      <c r="A272" t="s">
        <v>1250</v>
      </c>
      <c r="B272">
        <v>35</v>
      </c>
      <c r="C272">
        <v>1370</v>
      </c>
      <c r="D272" t="s">
        <v>14</v>
      </c>
      <c r="E272" t="s">
        <v>1497</v>
      </c>
      <c r="F272" t="s">
        <v>1496</v>
      </c>
      <c r="G272">
        <v>49</v>
      </c>
      <c r="H272">
        <v>3</v>
      </c>
      <c r="I272">
        <v>2</v>
      </c>
      <c r="J272" t="s">
        <v>1480</v>
      </c>
      <c r="K272" t="s">
        <v>1481</v>
      </c>
      <c r="L272">
        <v>3</v>
      </c>
      <c r="M272" t="s">
        <v>15</v>
      </c>
      <c r="N272">
        <v>2</v>
      </c>
      <c r="O272" t="s">
        <v>13</v>
      </c>
      <c r="P272">
        <v>17</v>
      </c>
      <c r="Q272" s="4">
        <v>45677</v>
      </c>
      <c r="R272" s="4"/>
      <c r="S272" t="str">
        <f>TEXT(Table1[[#This Row],[Hiring Date]],"mmmm")</f>
        <v>January</v>
      </c>
      <c r="T272" s="1">
        <f>COUNTIF(S:S,Table1[[#This Row],[Months List]])</f>
        <v>0</v>
      </c>
      <c r="U272" t="str">
        <f>TEXT(Table1[[#This Row],[Hiring Date]],"dddd")</f>
        <v>Monday</v>
      </c>
      <c r="V272" s="1" t="str">
        <f>TEXT(Table1[[#This Row],[Hiring Date]],"yyyy")</f>
        <v>2025</v>
      </c>
    </row>
    <row r="273" spans="1:22">
      <c r="A273" t="s">
        <v>1251</v>
      </c>
      <c r="B273">
        <v>30</v>
      </c>
      <c r="C273">
        <v>793</v>
      </c>
      <c r="D273" t="s">
        <v>14</v>
      </c>
      <c r="E273" t="s">
        <v>1497</v>
      </c>
      <c r="F273" t="s">
        <v>1496</v>
      </c>
      <c r="G273">
        <v>33</v>
      </c>
      <c r="H273">
        <v>3</v>
      </c>
      <c r="I273">
        <v>1</v>
      </c>
      <c r="J273" t="s">
        <v>1476</v>
      </c>
      <c r="K273" t="s">
        <v>1477</v>
      </c>
      <c r="L273">
        <v>4</v>
      </c>
      <c r="M273" t="s">
        <v>15</v>
      </c>
      <c r="N273">
        <v>1</v>
      </c>
      <c r="O273" t="s">
        <v>13</v>
      </c>
      <c r="P273">
        <v>10</v>
      </c>
      <c r="Q273" s="4">
        <v>45753</v>
      </c>
      <c r="R273" s="4"/>
      <c r="S273" t="str">
        <f>TEXT(Table1[[#This Row],[Hiring Date]],"mmmm")</f>
        <v>April</v>
      </c>
      <c r="T273" s="1">
        <f>COUNTIF(S:S,Table1[[#This Row],[Months List]])</f>
        <v>0</v>
      </c>
      <c r="U273" t="str">
        <f>TEXT(Table1[[#This Row],[Hiring Date]],"dddd")</f>
        <v>Sunday</v>
      </c>
      <c r="V273" s="1" t="str">
        <f>TEXT(Table1[[#This Row],[Hiring Date]],"yyyy")</f>
        <v>2025</v>
      </c>
    </row>
    <row r="274" spans="1:22">
      <c r="A274" t="s">
        <v>1252</v>
      </c>
      <c r="B274">
        <v>47</v>
      </c>
      <c r="C274">
        <v>543</v>
      </c>
      <c r="D274" t="s">
        <v>11</v>
      </c>
      <c r="E274" t="s">
        <v>1498</v>
      </c>
      <c r="F274" t="s">
        <v>1496</v>
      </c>
      <c r="G274">
        <v>87</v>
      </c>
      <c r="H274">
        <v>3</v>
      </c>
      <c r="I274">
        <v>2</v>
      </c>
      <c r="J274" t="s">
        <v>1474</v>
      </c>
      <c r="K274" t="s">
        <v>1475</v>
      </c>
      <c r="L274">
        <v>2</v>
      </c>
      <c r="M274" t="s">
        <v>15</v>
      </c>
      <c r="N274">
        <v>7</v>
      </c>
      <c r="O274" t="s">
        <v>13</v>
      </c>
      <c r="P274">
        <v>4</v>
      </c>
      <c r="Q274" s="4">
        <v>45780</v>
      </c>
      <c r="R274" s="4"/>
      <c r="S274" t="str">
        <f>TEXT(Table1[[#This Row],[Hiring Date]],"mmmm")</f>
        <v>May</v>
      </c>
      <c r="T274" s="1">
        <f>COUNTIF(S:S,Table1[[#This Row],[Months List]])</f>
        <v>0</v>
      </c>
      <c r="U274" t="str">
        <f>TEXT(Table1[[#This Row],[Hiring Date]],"dddd")</f>
        <v>Saturday</v>
      </c>
      <c r="V274" s="1" t="str">
        <f>TEXT(Table1[[#This Row],[Hiring Date]],"yyyy")</f>
        <v>2025</v>
      </c>
    </row>
    <row r="275" spans="1:22">
      <c r="A275" t="s">
        <v>1253</v>
      </c>
      <c r="B275">
        <v>46</v>
      </c>
      <c r="C275">
        <v>1277</v>
      </c>
      <c r="D275" t="s">
        <v>11</v>
      </c>
      <c r="E275" t="s">
        <v>1497</v>
      </c>
      <c r="F275" t="s">
        <v>1496</v>
      </c>
      <c r="G275">
        <v>74</v>
      </c>
      <c r="H275">
        <v>3</v>
      </c>
      <c r="I275">
        <v>3</v>
      </c>
      <c r="J275" t="s">
        <v>1474</v>
      </c>
      <c r="K275" t="s">
        <v>1475</v>
      </c>
      <c r="L275">
        <v>4</v>
      </c>
      <c r="M275" t="s">
        <v>16</v>
      </c>
      <c r="N275">
        <v>4</v>
      </c>
      <c r="O275" t="s">
        <v>10</v>
      </c>
      <c r="P275">
        <v>13</v>
      </c>
      <c r="Q275" s="4">
        <v>45650</v>
      </c>
      <c r="R275" s="4"/>
      <c r="S275" t="str">
        <f>TEXT(Table1[[#This Row],[Hiring Date]],"mmmm")</f>
        <v>December</v>
      </c>
      <c r="T275" s="1">
        <f>COUNTIF(S:S,Table1[[#This Row],[Months List]])</f>
        <v>0</v>
      </c>
      <c r="U275" t="str">
        <f>TEXT(Table1[[#This Row],[Hiring Date]],"dddd")</f>
        <v>Tuesday</v>
      </c>
      <c r="V275" s="1" t="str">
        <f>TEXT(Table1[[#This Row],[Hiring Date]],"yyyy")</f>
        <v>2024</v>
      </c>
    </row>
    <row r="276" spans="1:22">
      <c r="A276" t="s">
        <v>1254</v>
      </c>
      <c r="B276">
        <v>36</v>
      </c>
      <c r="C276">
        <v>1456</v>
      </c>
      <c r="D276" t="s">
        <v>11</v>
      </c>
      <c r="E276" t="s">
        <v>1498</v>
      </c>
      <c r="F276" t="s">
        <v>1496</v>
      </c>
      <c r="G276">
        <v>96</v>
      </c>
      <c r="H276">
        <v>2</v>
      </c>
      <c r="I276">
        <v>2</v>
      </c>
      <c r="J276" t="s">
        <v>1474</v>
      </c>
      <c r="K276" t="s">
        <v>1475</v>
      </c>
      <c r="L276">
        <v>1</v>
      </c>
      <c r="M276" t="s">
        <v>16</v>
      </c>
      <c r="N276">
        <v>5</v>
      </c>
      <c r="O276" t="s">
        <v>10</v>
      </c>
      <c r="P276">
        <v>16</v>
      </c>
      <c r="Q276" s="4">
        <v>45859</v>
      </c>
      <c r="R276" s="4"/>
      <c r="S276" t="str">
        <f>TEXT(Table1[[#This Row],[Hiring Date]],"mmmm")</f>
        <v>July</v>
      </c>
      <c r="T276" s="1">
        <f>COUNTIF(S:S,Table1[[#This Row],[Months List]])</f>
        <v>0</v>
      </c>
      <c r="U276" t="str">
        <f>TEXT(Table1[[#This Row],[Hiring Date]],"dddd")</f>
        <v>Monday</v>
      </c>
      <c r="V276" s="1" t="str">
        <f>TEXT(Table1[[#This Row],[Hiring Date]],"yyyy")</f>
        <v>2025</v>
      </c>
    </row>
    <row r="277" spans="1:22">
      <c r="A277" t="s">
        <v>1255</v>
      </c>
      <c r="B277">
        <v>32</v>
      </c>
      <c r="C277">
        <v>964</v>
      </c>
      <c r="D277" t="s">
        <v>11</v>
      </c>
      <c r="E277" t="s">
        <v>1497</v>
      </c>
      <c r="F277" t="s">
        <v>1496</v>
      </c>
      <c r="G277">
        <v>34</v>
      </c>
      <c r="H277">
        <v>1</v>
      </c>
      <c r="I277">
        <v>2</v>
      </c>
      <c r="J277" t="s">
        <v>1474</v>
      </c>
      <c r="K277" t="s">
        <v>1475</v>
      </c>
      <c r="L277">
        <v>2</v>
      </c>
      <c r="M277" t="s">
        <v>12</v>
      </c>
      <c r="N277">
        <v>6</v>
      </c>
      <c r="O277" t="s">
        <v>13</v>
      </c>
      <c r="P277">
        <v>10</v>
      </c>
      <c r="Q277" s="4">
        <v>45800</v>
      </c>
      <c r="R277" s="4"/>
      <c r="S277" t="str">
        <f>TEXT(Table1[[#This Row],[Hiring Date]],"mmmm")</f>
        <v>May</v>
      </c>
      <c r="T277" s="1">
        <f>COUNTIF(S:S,Table1[[#This Row],[Months List]])</f>
        <v>0</v>
      </c>
      <c r="U277" t="str">
        <f>TEXT(Table1[[#This Row],[Hiring Date]],"dddd")</f>
        <v>Friday</v>
      </c>
      <c r="V277" s="1" t="str">
        <f>TEXT(Table1[[#This Row],[Hiring Date]],"yyyy")</f>
        <v>2025</v>
      </c>
    </row>
    <row r="278" spans="1:22">
      <c r="A278" t="s">
        <v>1256</v>
      </c>
      <c r="B278">
        <v>23</v>
      </c>
      <c r="C278">
        <v>160</v>
      </c>
      <c r="D278" t="s">
        <v>14</v>
      </c>
      <c r="E278" t="s">
        <v>1495</v>
      </c>
      <c r="F278" t="s">
        <v>1499</v>
      </c>
      <c r="G278">
        <v>51</v>
      </c>
      <c r="H278">
        <v>3</v>
      </c>
      <c r="I278">
        <v>1</v>
      </c>
      <c r="J278" t="s">
        <v>1484</v>
      </c>
      <c r="K278" t="s">
        <v>1485</v>
      </c>
      <c r="L278">
        <v>2</v>
      </c>
      <c r="M278" t="s">
        <v>12</v>
      </c>
      <c r="N278">
        <v>1</v>
      </c>
      <c r="O278" t="s">
        <v>13</v>
      </c>
      <c r="P278">
        <v>3</v>
      </c>
      <c r="Q278" s="4">
        <v>45835</v>
      </c>
      <c r="R278" s="4"/>
      <c r="S278" t="str">
        <f>TEXT(Table1[[#This Row],[Hiring Date]],"mmmm")</f>
        <v>June</v>
      </c>
      <c r="T278" s="1">
        <f>COUNTIF(S:S,Table1[[#This Row],[Months List]])</f>
        <v>0</v>
      </c>
      <c r="U278" t="str">
        <f>TEXT(Table1[[#This Row],[Hiring Date]],"dddd")</f>
        <v>Friday</v>
      </c>
      <c r="V278" s="1" t="str">
        <f>TEXT(Table1[[#This Row],[Hiring Date]],"yyyy")</f>
        <v>2025</v>
      </c>
    </row>
    <row r="279" spans="1:22">
      <c r="A279" t="s">
        <v>132</v>
      </c>
      <c r="B279">
        <v>34</v>
      </c>
      <c r="C279">
        <v>1031</v>
      </c>
      <c r="D279" t="s">
        <v>14</v>
      </c>
      <c r="E279" t="s">
        <v>1497</v>
      </c>
      <c r="F279" t="s">
        <v>1499</v>
      </c>
      <c r="G279">
        <v>45</v>
      </c>
      <c r="H279">
        <v>2</v>
      </c>
      <c r="I279">
        <v>2</v>
      </c>
      <c r="J279" t="s">
        <v>1476</v>
      </c>
      <c r="K279" t="s">
        <v>1477</v>
      </c>
      <c r="L279">
        <v>2</v>
      </c>
      <c r="M279" t="s">
        <v>16</v>
      </c>
      <c r="N279">
        <v>6</v>
      </c>
      <c r="O279" t="s">
        <v>13</v>
      </c>
      <c r="P279">
        <v>12</v>
      </c>
      <c r="Q279" s="4">
        <v>45640</v>
      </c>
      <c r="R279" s="4"/>
      <c r="S279" t="str">
        <f>TEXT(Table1[[#This Row],[Hiring Date]],"mmmm")</f>
        <v>December</v>
      </c>
      <c r="T279" s="1">
        <f>COUNTIF(S:S,Table1[[#This Row],[Months List]])</f>
        <v>0</v>
      </c>
      <c r="U279" t="str">
        <f>TEXT(Table1[[#This Row],[Hiring Date]],"dddd")</f>
        <v>Saturday</v>
      </c>
      <c r="V279" s="1" t="str">
        <f>TEXT(Table1[[#This Row],[Hiring Date]],"yyyy")</f>
        <v>2024</v>
      </c>
    </row>
    <row r="280" spans="1:22">
      <c r="A280" t="s">
        <v>1257</v>
      </c>
      <c r="B280">
        <v>31</v>
      </c>
      <c r="C280">
        <v>163</v>
      </c>
      <c r="D280" t="s">
        <v>14</v>
      </c>
      <c r="E280" t="s">
        <v>1501</v>
      </c>
      <c r="F280" t="s">
        <v>1499</v>
      </c>
      <c r="G280">
        <v>30</v>
      </c>
      <c r="H280">
        <v>3</v>
      </c>
      <c r="I280">
        <v>2</v>
      </c>
      <c r="J280" t="s">
        <v>1480</v>
      </c>
      <c r="K280" t="s">
        <v>1481</v>
      </c>
      <c r="L280">
        <v>4</v>
      </c>
      <c r="M280" t="s">
        <v>12</v>
      </c>
      <c r="N280">
        <v>2</v>
      </c>
      <c r="O280" t="s">
        <v>13</v>
      </c>
      <c r="P280">
        <v>9</v>
      </c>
      <c r="Q280" s="4">
        <v>45712</v>
      </c>
      <c r="R280" s="4"/>
      <c r="S280" t="str">
        <f>TEXT(Table1[[#This Row],[Hiring Date]],"mmmm")</f>
        <v>February</v>
      </c>
      <c r="T280" s="1">
        <f>COUNTIF(S:S,Table1[[#This Row],[Months List]])</f>
        <v>0</v>
      </c>
      <c r="U280" t="str">
        <f>TEXT(Table1[[#This Row],[Hiring Date]],"dddd")</f>
        <v>Monday</v>
      </c>
      <c r="V280" s="1" t="str">
        <f>TEXT(Table1[[#This Row],[Hiring Date]],"yyyy")</f>
        <v>2025</v>
      </c>
    </row>
    <row r="281" spans="1:22">
      <c r="A281" t="s">
        <v>1258</v>
      </c>
      <c r="B281">
        <v>39</v>
      </c>
      <c r="C281">
        <v>792</v>
      </c>
      <c r="D281" t="s">
        <v>14</v>
      </c>
      <c r="E281" t="s">
        <v>1497</v>
      </c>
      <c r="F281" t="s">
        <v>1496</v>
      </c>
      <c r="G281">
        <v>77</v>
      </c>
      <c r="H281">
        <v>3</v>
      </c>
      <c r="I281">
        <v>2</v>
      </c>
      <c r="J281" t="s">
        <v>1484</v>
      </c>
      <c r="K281" t="s">
        <v>1485</v>
      </c>
      <c r="L281">
        <v>4</v>
      </c>
      <c r="M281" t="s">
        <v>15</v>
      </c>
      <c r="N281">
        <v>1</v>
      </c>
      <c r="O281" t="s">
        <v>10</v>
      </c>
      <c r="P281">
        <v>9</v>
      </c>
      <c r="Q281" s="4">
        <v>45782</v>
      </c>
      <c r="R281" s="4"/>
      <c r="S281" t="str">
        <f>TEXT(Table1[[#This Row],[Hiring Date]],"mmmm")</f>
        <v>May</v>
      </c>
      <c r="T281" s="1">
        <f>COUNTIF(S:S,Table1[[#This Row],[Months List]])</f>
        <v>0</v>
      </c>
      <c r="U281" t="str">
        <f>TEXT(Table1[[#This Row],[Hiring Date]],"dddd")</f>
        <v>Monday</v>
      </c>
      <c r="V281" s="1" t="str">
        <f>TEXT(Table1[[#This Row],[Hiring Date]],"yyyy")</f>
        <v>2025</v>
      </c>
    </row>
    <row r="282" spans="1:22">
      <c r="A282" t="s">
        <v>1259</v>
      </c>
      <c r="B282">
        <v>32</v>
      </c>
      <c r="C282">
        <v>371</v>
      </c>
      <c r="D282" t="s">
        <v>11</v>
      </c>
      <c r="E282" t="s">
        <v>1497</v>
      </c>
      <c r="F282" t="s">
        <v>1496</v>
      </c>
      <c r="G282">
        <v>80</v>
      </c>
      <c r="H282">
        <v>1</v>
      </c>
      <c r="I282">
        <v>3</v>
      </c>
      <c r="J282" t="s">
        <v>1474</v>
      </c>
      <c r="K282" t="s">
        <v>1475</v>
      </c>
      <c r="L282">
        <v>3</v>
      </c>
      <c r="M282" t="s">
        <v>15</v>
      </c>
      <c r="N282">
        <v>3</v>
      </c>
      <c r="O282" t="s">
        <v>13</v>
      </c>
      <c r="P282">
        <v>10</v>
      </c>
      <c r="Q282" s="4">
        <v>45663</v>
      </c>
      <c r="R282" s="4"/>
      <c r="S282" t="str">
        <f>TEXT(Table1[[#This Row],[Hiring Date]],"mmmm")</f>
        <v>January</v>
      </c>
      <c r="T282" s="1">
        <f>COUNTIF(S:S,Table1[[#This Row],[Months List]])</f>
        <v>0</v>
      </c>
      <c r="U282" t="str">
        <f>TEXT(Table1[[#This Row],[Hiring Date]],"dddd")</f>
        <v>Monday</v>
      </c>
      <c r="V282" s="1" t="str">
        <f>TEXT(Table1[[#This Row],[Hiring Date]],"yyyy")</f>
        <v>2025</v>
      </c>
    </row>
    <row r="283" spans="1:22">
      <c r="A283" t="s">
        <v>1260</v>
      </c>
      <c r="B283">
        <v>40</v>
      </c>
      <c r="C283">
        <v>611</v>
      </c>
      <c r="D283" t="s">
        <v>11</v>
      </c>
      <c r="E283" t="s">
        <v>1495</v>
      </c>
      <c r="F283" t="s">
        <v>1496</v>
      </c>
      <c r="G283">
        <v>88</v>
      </c>
      <c r="H283">
        <v>3</v>
      </c>
      <c r="I283">
        <v>5</v>
      </c>
      <c r="J283" t="s">
        <v>1482</v>
      </c>
      <c r="K283" t="s">
        <v>1483</v>
      </c>
      <c r="L283">
        <v>2</v>
      </c>
      <c r="M283" t="s">
        <v>12</v>
      </c>
      <c r="N283">
        <v>1</v>
      </c>
      <c r="O283" t="s">
        <v>13</v>
      </c>
      <c r="P283">
        <v>21</v>
      </c>
      <c r="Q283" s="4">
        <v>45650</v>
      </c>
      <c r="R283" s="4"/>
      <c r="S283" t="str">
        <f>TEXT(Table1[[#This Row],[Hiring Date]],"mmmm")</f>
        <v>December</v>
      </c>
      <c r="T283" s="1">
        <f>COUNTIF(S:S,Table1[[#This Row],[Months List]])</f>
        <v>0</v>
      </c>
      <c r="U283" t="str">
        <f>TEXT(Table1[[#This Row],[Hiring Date]],"dddd")</f>
        <v>Tuesday</v>
      </c>
      <c r="V283" s="1" t="str">
        <f>TEXT(Table1[[#This Row],[Hiring Date]],"yyyy")</f>
        <v>2024</v>
      </c>
    </row>
    <row r="284" spans="1:22">
      <c r="A284" t="s">
        <v>1261</v>
      </c>
      <c r="B284">
        <v>45</v>
      </c>
      <c r="C284">
        <v>176</v>
      </c>
      <c r="D284" t="s">
        <v>17</v>
      </c>
      <c r="E284" t="s">
        <v>1497</v>
      </c>
      <c r="F284" t="s">
        <v>1499</v>
      </c>
      <c r="G284">
        <v>56</v>
      </c>
      <c r="H284">
        <v>1</v>
      </c>
      <c r="I284">
        <v>3</v>
      </c>
      <c r="J284" t="s">
        <v>1486</v>
      </c>
      <c r="K284" t="s">
        <v>17</v>
      </c>
      <c r="L284">
        <v>3</v>
      </c>
      <c r="M284" t="s">
        <v>15</v>
      </c>
      <c r="N284">
        <v>4</v>
      </c>
      <c r="O284" t="s">
        <v>13</v>
      </c>
      <c r="P284">
        <v>9</v>
      </c>
      <c r="Q284" s="4">
        <v>45968</v>
      </c>
      <c r="R284" s="4"/>
      <c r="S284" t="str">
        <f>TEXT(Table1[[#This Row],[Hiring Date]],"mmmm")</f>
        <v>November</v>
      </c>
      <c r="T284" s="1">
        <f>COUNTIF(S:S,Table1[[#This Row],[Months List]])</f>
        <v>0</v>
      </c>
      <c r="U284" t="str">
        <f>TEXT(Table1[[#This Row],[Hiring Date]],"dddd")</f>
        <v>Friday</v>
      </c>
      <c r="V284" s="1" t="str">
        <f>TEXT(Table1[[#This Row],[Hiring Date]],"yyyy")</f>
        <v>2025</v>
      </c>
    </row>
    <row r="285" spans="1:22">
      <c r="A285" t="s">
        <v>1262</v>
      </c>
      <c r="B285">
        <v>30</v>
      </c>
      <c r="C285">
        <v>1312</v>
      </c>
      <c r="D285" t="s">
        <v>14</v>
      </c>
      <c r="E285" t="s">
        <v>1501</v>
      </c>
      <c r="F285" t="s">
        <v>1499</v>
      </c>
      <c r="G285">
        <v>78</v>
      </c>
      <c r="H285">
        <v>2</v>
      </c>
      <c r="I285">
        <v>1</v>
      </c>
      <c r="J285" t="s">
        <v>1476</v>
      </c>
      <c r="K285" t="s">
        <v>1477</v>
      </c>
      <c r="L285">
        <v>1</v>
      </c>
      <c r="M285" t="s">
        <v>12</v>
      </c>
      <c r="N285">
        <v>0</v>
      </c>
      <c r="O285" t="s">
        <v>13</v>
      </c>
      <c r="P285">
        <v>10</v>
      </c>
      <c r="Q285" s="4">
        <v>45837</v>
      </c>
      <c r="R285" s="4"/>
      <c r="S285" t="str">
        <f>TEXT(Table1[[#This Row],[Hiring Date]],"mmmm")</f>
        <v>June</v>
      </c>
      <c r="T285" s="1">
        <f>COUNTIF(S:S,Table1[[#This Row],[Months List]])</f>
        <v>0</v>
      </c>
      <c r="U285" t="str">
        <f>TEXT(Table1[[#This Row],[Hiring Date]],"dddd")</f>
        <v>Sunday</v>
      </c>
      <c r="V285" s="1" t="str">
        <f>TEXT(Table1[[#This Row],[Hiring Date]],"yyyy")</f>
        <v>2025</v>
      </c>
    </row>
    <row r="286" spans="1:22">
      <c r="A286" t="s">
        <v>1263</v>
      </c>
      <c r="B286">
        <v>24</v>
      </c>
      <c r="C286">
        <v>897</v>
      </c>
      <c r="D286" t="s">
        <v>17</v>
      </c>
      <c r="E286" t="s">
        <v>1495</v>
      </c>
      <c r="F286" t="s">
        <v>1496</v>
      </c>
      <c r="G286">
        <v>59</v>
      </c>
      <c r="H286">
        <v>3</v>
      </c>
      <c r="I286">
        <v>1</v>
      </c>
      <c r="J286" t="s">
        <v>1486</v>
      </c>
      <c r="K286" t="s">
        <v>17</v>
      </c>
      <c r="L286">
        <v>4</v>
      </c>
      <c r="M286" t="s">
        <v>15</v>
      </c>
      <c r="N286">
        <v>0</v>
      </c>
      <c r="O286" t="s">
        <v>13</v>
      </c>
      <c r="P286">
        <v>3</v>
      </c>
      <c r="Q286" s="4">
        <v>45818</v>
      </c>
      <c r="R286" s="4"/>
      <c r="S286" t="str">
        <f>TEXT(Table1[[#This Row],[Hiring Date]],"mmmm")</f>
        <v>June</v>
      </c>
      <c r="T286" s="1">
        <f>COUNTIF(S:S,Table1[[#This Row],[Months List]])</f>
        <v>0</v>
      </c>
      <c r="U286" t="str">
        <f>TEXT(Table1[[#This Row],[Hiring Date]],"dddd")</f>
        <v>Tuesday</v>
      </c>
      <c r="V286" s="1" t="str">
        <f>TEXT(Table1[[#This Row],[Hiring Date]],"yyyy")</f>
        <v>2025</v>
      </c>
    </row>
    <row r="287" spans="1:22">
      <c r="A287" t="s">
        <v>1264</v>
      </c>
      <c r="B287">
        <v>30</v>
      </c>
      <c r="C287">
        <v>600</v>
      </c>
      <c r="D287" t="s">
        <v>17</v>
      </c>
      <c r="E287" t="s">
        <v>17</v>
      </c>
      <c r="F287" t="s">
        <v>1499</v>
      </c>
      <c r="G287">
        <v>66</v>
      </c>
      <c r="H287">
        <v>2</v>
      </c>
      <c r="I287">
        <v>1</v>
      </c>
      <c r="J287" t="s">
        <v>1486</v>
      </c>
      <c r="K287" t="s">
        <v>17</v>
      </c>
      <c r="L287">
        <v>4</v>
      </c>
      <c r="M287" t="s">
        <v>16</v>
      </c>
      <c r="N287">
        <v>6</v>
      </c>
      <c r="O287" t="s">
        <v>13</v>
      </c>
      <c r="P287">
        <v>6</v>
      </c>
      <c r="Q287" s="4">
        <v>45813</v>
      </c>
      <c r="R287" s="4"/>
      <c r="S287" t="str">
        <f>TEXT(Table1[[#This Row],[Hiring Date]],"mmmm")</f>
        <v>June</v>
      </c>
      <c r="T287" s="1">
        <f>COUNTIF(S:S,Table1[[#This Row],[Months List]])</f>
        <v>0</v>
      </c>
      <c r="U287" t="str">
        <f>TEXT(Table1[[#This Row],[Hiring Date]],"dddd")</f>
        <v>Thursday</v>
      </c>
      <c r="V287" s="1" t="str">
        <f>TEXT(Table1[[#This Row],[Hiring Date]],"yyyy")</f>
        <v>2025</v>
      </c>
    </row>
    <row r="288" spans="1:22">
      <c r="A288" t="s">
        <v>1265</v>
      </c>
      <c r="B288">
        <v>31</v>
      </c>
      <c r="C288">
        <v>1003</v>
      </c>
      <c r="D288" t="s">
        <v>11</v>
      </c>
      <c r="E288" t="s">
        <v>1501</v>
      </c>
      <c r="F288" t="s">
        <v>1496</v>
      </c>
      <c r="G288">
        <v>51</v>
      </c>
      <c r="H288">
        <v>3</v>
      </c>
      <c r="I288">
        <v>2</v>
      </c>
      <c r="J288" t="s">
        <v>1474</v>
      </c>
      <c r="K288" t="s">
        <v>1475</v>
      </c>
      <c r="L288">
        <v>3</v>
      </c>
      <c r="M288" t="s">
        <v>15</v>
      </c>
      <c r="N288">
        <v>1</v>
      </c>
      <c r="O288" t="s">
        <v>13</v>
      </c>
      <c r="P288">
        <v>6</v>
      </c>
      <c r="Q288" s="4">
        <v>45824</v>
      </c>
      <c r="R288" s="4"/>
      <c r="S288" t="str">
        <f>TEXT(Table1[[#This Row],[Hiring Date]],"mmmm")</f>
        <v>June</v>
      </c>
      <c r="T288" s="1">
        <f>COUNTIF(S:S,Table1[[#This Row],[Months List]])</f>
        <v>0</v>
      </c>
      <c r="U288" t="str">
        <f>TEXT(Table1[[#This Row],[Hiring Date]],"dddd")</f>
        <v>Monday</v>
      </c>
      <c r="V288" s="1" t="str">
        <f>TEXT(Table1[[#This Row],[Hiring Date]],"yyyy")</f>
        <v>2025</v>
      </c>
    </row>
    <row r="289" spans="1:22">
      <c r="A289" t="s">
        <v>1266</v>
      </c>
      <c r="B289">
        <v>27</v>
      </c>
      <c r="C289">
        <v>1054</v>
      </c>
      <c r="D289" t="s">
        <v>14</v>
      </c>
      <c r="E289" t="s">
        <v>1495</v>
      </c>
      <c r="F289" t="s">
        <v>1499</v>
      </c>
      <c r="G289">
        <v>67</v>
      </c>
      <c r="H289">
        <v>3</v>
      </c>
      <c r="I289">
        <v>1</v>
      </c>
      <c r="J289" t="s">
        <v>1476</v>
      </c>
      <c r="K289" t="s">
        <v>1477</v>
      </c>
      <c r="L289">
        <v>4</v>
      </c>
      <c r="M289" t="s">
        <v>12</v>
      </c>
      <c r="N289">
        <v>1</v>
      </c>
      <c r="O289" t="s">
        <v>13</v>
      </c>
      <c r="P289">
        <v>6</v>
      </c>
      <c r="Q289" s="4">
        <v>45751</v>
      </c>
      <c r="R289" s="4"/>
      <c r="S289" t="str">
        <f>TEXT(Table1[[#This Row],[Hiring Date]],"mmmm")</f>
        <v>April</v>
      </c>
      <c r="T289" s="1">
        <f>COUNTIF(S:S,Table1[[#This Row],[Months List]])</f>
        <v>0</v>
      </c>
      <c r="U289" t="str">
        <f>TEXT(Table1[[#This Row],[Hiring Date]],"dddd")</f>
        <v>Friday</v>
      </c>
      <c r="V289" s="1" t="str">
        <f>TEXT(Table1[[#This Row],[Hiring Date]],"yyyy")</f>
        <v>2025</v>
      </c>
    </row>
    <row r="290" spans="1:22">
      <c r="A290" t="s">
        <v>133</v>
      </c>
      <c r="B290">
        <v>37</v>
      </c>
      <c r="C290">
        <v>1189</v>
      </c>
      <c r="D290" t="s">
        <v>11</v>
      </c>
      <c r="E290" t="s">
        <v>1497</v>
      </c>
      <c r="F290" t="s">
        <v>1496</v>
      </c>
      <c r="G290">
        <v>87</v>
      </c>
      <c r="H290">
        <v>3</v>
      </c>
      <c r="I290">
        <v>3</v>
      </c>
      <c r="J290" t="s">
        <v>1474</v>
      </c>
      <c r="K290" t="s">
        <v>1475</v>
      </c>
      <c r="L290">
        <v>4</v>
      </c>
      <c r="M290" t="s">
        <v>12</v>
      </c>
      <c r="N290">
        <v>2</v>
      </c>
      <c r="O290" t="s">
        <v>13</v>
      </c>
      <c r="P290">
        <v>12</v>
      </c>
      <c r="Q290" s="4">
        <v>45835</v>
      </c>
      <c r="R290" s="4"/>
      <c r="S290" t="str">
        <f>TEXT(Table1[[#This Row],[Hiring Date]],"mmmm")</f>
        <v>June</v>
      </c>
      <c r="T290" s="1">
        <f>COUNTIF(S:S,Table1[[#This Row],[Months List]])</f>
        <v>0</v>
      </c>
      <c r="U290" t="str">
        <f>TEXT(Table1[[#This Row],[Hiring Date]],"dddd")</f>
        <v>Friday</v>
      </c>
      <c r="V290" s="1" t="str">
        <f>TEXT(Table1[[#This Row],[Hiring Date]],"yyyy")</f>
        <v>2025</v>
      </c>
    </row>
    <row r="291" spans="1:22">
      <c r="A291" t="s">
        <v>1267</v>
      </c>
      <c r="B291">
        <v>29</v>
      </c>
      <c r="C291">
        <v>428</v>
      </c>
      <c r="D291" t="s">
        <v>11</v>
      </c>
      <c r="E291" t="s">
        <v>1498</v>
      </c>
      <c r="F291" t="s">
        <v>1499</v>
      </c>
      <c r="G291">
        <v>52</v>
      </c>
      <c r="H291">
        <v>1</v>
      </c>
      <c r="I291">
        <v>1</v>
      </c>
      <c r="J291" t="s">
        <v>1489</v>
      </c>
      <c r="K291" t="s">
        <v>1490</v>
      </c>
      <c r="L291">
        <v>2</v>
      </c>
      <c r="M291" t="s">
        <v>12</v>
      </c>
      <c r="N291">
        <v>1</v>
      </c>
      <c r="O291" t="s">
        <v>13</v>
      </c>
      <c r="P291">
        <v>2</v>
      </c>
      <c r="Q291" s="4">
        <v>45759</v>
      </c>
      <c r="R291" s="4"/>
      <c r="S291" t="str">
        <f>TEXT(Table1[[#This Row],[Hiring Date]],"mmmm")</f>
        <v>April</v>
      </c>
      <c r="T291" s="1">
        <f>COUNTIF(S:S,Table1[[#This Row],[Months List]])</f>
        <v>0</v>
      </c>
      <c r="U291" t="str">
        <f>TEXT(Table1[[#This Row],[Hiring Date]],"dddd")</f>
        <v>Saturday</v>
      </c>
      <c r="V291" s="1" t="str">
        <f>TEXT(Table1[[#This Row],[Hiring Date]],"yyyy")</f>
        <v>2025</v>
      </c>
    </row>
    <row r="292" spans="1:22">
      <c r="A292" t="s">
        <v>1268</v>
      </c>
      <c r="B292">
        <v>29</v>
      </c>
      <c r="C292">
        <v>461</v>
      </c>
      <c r="D292" t="s">
        <v>14</v>
      </c>
      <c r="E292" t="s">
        <v>1497</v>
      </c>
      <c r="F292" t="s">
        <v>1496</v>
      </c>
      <c r="G292">
        <v>70</v>
      </c>
      <c r="H292">
        <v>4</v>
      </c>
      <c r="I292">
        <v>2</v>
      </c>
      <c r="J292" t="s">
        <v>1478</v>
      </c>
      <c r="K292" t="s">
        <v>1479</v>
      </c>
      <c r="L292">
        <v>3</v>
      </c>
      <c r="M292" t="s">
        <v>12</v>
      </c>
      <c r="N292">
        <v>8</v>
      </c>
      <c r="O292" t="s">
        <v>10</v>
      </c>
      <c r="P292">
        <v>10</v>
      </c>
      <c r="Q292" s="4">
        <v>45954</v>
      </c>
      <c r="R292" s="4"/>
      <c r="S292" t="str">
        <f>TEXT(Table1[[#This Row],[Hiring Date]],"mmmm")</f>
        <v>October</v>
      </c>
      <c r="T292" s="1">
        <f>COUNTIF(S:S,Table1[[#This Row],[Months List]])</f>
        <v>0</v>
      </c>
      <c r="U292" t="str">
        <f>TEXT(Table1[[#This Row],[Hiring Date]],"dddd")</f>
        <v>Friday</v>
      </c>
      <c r="V292" s="1" t="str">
        <f>TEXT(Table1[[#This Row],[Hiring Date]],"yyyy")</f>
        <v>2025</v>
      </c>
    </row>
    <row r="293" spans="1:22">
      <c r="A293" t="s">
        <v>1269</v>
      </c>
      <c r="B293">
        <v>30</v>
      </c>
      <c r="C293">
        <v>979</v>
      </c>
      <c r="D293" t="s">
        <v>11</v>
      </c>
      <c r="E293" t="s">
        <v>1498</v>
      </c>
      <c r="F293" t="s">
        <v>1496</v>
      </c>
      <c r="G293">
        <v>94</v>
      </c>
      <c r="H293">
        <v>2</v>
      </c>
      <c r="I293">
        <v>3</v>
      </c>
      <c r="J293" t="s">
        <v>1474</v>
      </c>
      <c r="K293" t="s">
        <v>1475</v>
      </c>
      <c r="L293">
        <v>1</v>
      </c>
      <c r="M293" t="s">
        <v>16</v>
      </c>
      <c r="N293">
        <v>2</v>
      </c>
      <c r="O293" t="s">
        <v>13</v>
      </c>
      <c r="P293">
        <v>12</v>
      </c>
      <c r="Q293" s="4">
        <v>45962</v>
      </c>
      <c r="R293" s="4"/>
      <c r="S293" t="str">
        <f>TEXT(Table1[[#This Row],[Hiring Date]],"mmmm")</f>
        <v>November</v>
      </c>
      <c r="T293" s="1">
        <f>COUNTIF(S:S,Table1[[#This Row],[Months List]])</f>
        <v>0</v>
      </c>
      <c r="U293" t="str">
        <f>TEXT(Table1[[#This Row],[Hiring Date]],"dddd")</f>
        <v>Saturday</v>
      </c>
      <c r="V293" s="1" t="str">
        <f>TEXT(Table1[[#This Row],[Hiring Date]],"yyyy")</f>
        <v>2025</v>
      </c>
    </row>
    <row r="294" spans="1:22">
      <c r="A294" t="s">
        <v>1270</v>
      </c>
      <c r="B294">
        <v>34</v>
      </c>
      <c r="C294">
        <v>181</v>
      </c>
      <c r="D294" t="s">
        <v>14</v>
      </c>
      <c r="E294" t="s">
        <v>1495</v>
      </c>
      <c r="F294" t="s">
        <v>1496</v>
      </c>
      <c r="G294">
        <v>97</v>
      </c>
      <c r="H294">
        <v>4</v>
      </c>
      <c r="I294">
        <v>1</v>
      </c>
      <c r="J294" t="s">
        <v>1476</v>
      </c>
      <c r="K294" t="s">
        <v>1477</v>
      </c>
      <c r="L294">
        <v>4</v>
      </c>
      <c r="M294" t="s">
        <v>15</v>
      </c>
      <c r="N294">
        <v>0</v>
      </c>
      <c r="O294" t="s">
        <v>10</v>
      </c>
      <c r="P294">
        <v>6</v>
      </c>
      <c r="Q294" s="4">
        <v>45656</v>
      </c>
      <c r="R294" s="4"/>
      <c r="S294" t="str">
        <f>TEXT(Table1[[#This Row],[Hiring Date]],"mmmm")</f>
        <v>December</v>
      </c>
      <c r="T294" s="1">
        <f>COUNTIF(S:S,Table1[[#This Row],[Months List]])</f>
        <v>0</v>
      </c>
      <c r="U294" t="str">
        <f>TEXT(Table1[[#This Row],[Hiring Date]],"dddd")</f>
        <v>Monday</v>
      </c>
      <c r="V294" s="1" t="str">
        <f>TEXT(Table1[[#This Row],[Hiring Date]],"yyyy")</f>
        <v>2024</v>
      </c>
    </row>
    <row r="295" spans="1:22">
      <c r="A295" t="s">
        <v>1271</v>
      </c>
      <c r="B295">
        <v>33</v>
      </c>
      <c r="C295">
        <v>1283</v>
      </c>
      <c r="D295" t="s">
        <v>11</v>
      </c>
      <c r="E295" t="s">
        <v>1498</v>
      </c>
      <c r="F295" t="s">
        <v>1499</v>
      </c>
      <c r="G295">
        <v>62</v>
      </c>
      <c r="H295">
        <v>3</v>
      </c>
      <c r="I295">
        <v>2</v>
      </c>
      <c r="J295" t="s">
        <v>1474</v>
      </c>
      <c r="K295" t="s">
        <v>1475</v>
      </c>
      <c r="L295">
        <v>2</v>
      </c>
      <c r="M295" t="s">
        <v>12</v>
      </c>
      <c r="N295">
        <v>8</v>
      </c>
      <c r="O295" t="s">
        <v>13</v>
      </c>
      <c r="P295">
        <v>13</v>
      </c>
      <c r="Q295" s="4">
        <v>45816</v>
      </c>
      <c r="R295" s="4"/>
      <c r="S295" t="str">
        <f>TEXT(Table1[[#This Row],[Hiring Date]],"mmmm")</f>
        <v>June</v>
      </c>
      <c r="T295" s="1">
        <f>COUNTIF(S:S,Table1[[#This Row],[Months List]])</f>
        <v>0</v>
      </c>
      <c r="U295" t="str">
        <f>TEXT(Table1[[#This Row],[Hiring Date]],"dddd")</f>
        <v>Sunday</v>
      </c>
      <c r="V295" s="1" t="str">
        <f>TEXT(Table1[[#This Row],[Hiring Date]],"yyyy")</f>
        <v>2025</v>
      </c>
    </row>
    <row r="296" spans="1:22">
      <c r="A296" t="s">
        <v>1272</v>
      </c>
      <c r="B296">
        <v>49</v>
      </c>
      <c r="C296">
        <v>1313</v>
      </c>
      <c r="D296" t="s">
        <v>11</v>
      </c>
      <c r="E296" t="s">
        <v>1498</v>
      </c>
      <c r="F296" t="s">
        <v>1499</v>
      </c>
      <c r="G296">
        <v>80</v>
      </c>
      <c r="H296">
        <v>3</v>
      </c>
      <c r="I296">
        <v>2</v>
      </c>
      <c r="J296" t="s">
        <v>1474</v>
      </c>
      <c r="K296" t="s">
        <v>1475</v>
      </c>
      <c r="L296">
        <v>4</v>
      </c>
      <c r="M296" t="s">
        <v>12</v>
      </c>
      <c r="N296">
        <v>3</v>
      </c>
      <c r="O296" t="s">
        <v>13</v>
      </c>
      <c r="P296">
        <v>8</v>
      </c>
      <c r="Q296" s="4">
        <v>45671</v>
      </c>
      <c r="R296" s="4"/>
      <c r="S296" t="str">
        <f>TEXT(Table1[[#This Row],[Hiring Date]],"mmmm")</f>
        <v>January</v>
      </c>
      <c r="T296" s="1">
        <f>COUNTIF(S:S,Table1[[#This Row],[Months List]])</f>
        <v>0</v>
      </c>
      <c r="U296" t="str">
        <f>TEXT(Table1[[#This Row],[Hiring Date]],"dddd")</f>
        <v>Tuesday</v>
      </c>
      <c r="V296" s="1" t="str">
        <f>TEXT(Table1[[#This Row],[Hiring Date]],"yyyy")</f>
        <v>2025</v>
      </c>
    </row>
    <row r="297" spans="1:22">
      <c r="A297" t="s">
        <v>1273</v>
      </c>
      <c r="B297">
        <v>33</v>
      </c>
      <c r="C297">
        <v>211</v>
      </c>
      <c r="D297" t="s">
        <v>11</v>
      </c>
      <c r="E297" t="s">
        <v>1497</v>
      </c>
      <c r="F297" t="s">
        <v>1499</v>
      </c>
      <c r="G297">
        <v>74</v>
      </c>
      <c r="H297">
        <v>3</v>
      </c>
      <c r="I297">
        <v>3</v>
      </c>
      <c r="J297" t="s">
        <v>1474</v>
      </c>
      <c r="K297" t="s">
        <v>1475</v>
      </c>
      <c r="L297">
        <v>1</v>
      </c>
      <c r="M297" t="s">
        <v>12</v>
      </c>
      <c r="N297">
        <v>2</v>
      </c>
      <c r="O297" t="s">
        <v>10</v>
      </c>
      <c r="P297">
        <v>11</v>
      </c>
      <c r="Q297" s="4">
        <v>45685</v>
      </c>
      <c r="R297" s="4"/>
      <c r="S297" t="str">
        <f>TEXT(Table1[[#This Row],[Hiring Date]],"mmmm")</f>
        <v>January</v>
      </c>
      <c r="T297" s="1">
        <f>COUNTIF(S:S,Table1[[#This Row],[Months List]])</f>
        <v>0</v>
      </c>
      <c r="U297" t="str">
        <f>TEXT(Table1[[#This Row],[Hiring Date]],"dddd")</f>
        <v>Tuesday</v>
      </c>
      <c r="V297" s="1" t="str">
        <f>TEXT(Table1[[#This Row],[Hiring Date]],"yyyy")</f>
        <v>2025</v>
      </c>
    </row>
    <row r="298" spans="1:22">
      <c r="A298" t="s">
        <v>1274</v>
      </c>
      <c r="B298">
        <v>38</v>
      </c>
      <c r="C298">
        <v>594</v>
      </c>
      <c r="D298" t="s">
        <v>14</v>
      </c>
      <c r="E298" t="s">
        <v>1495</v>
      </c>
      <c r="F298" t="s">
        <v>1499</v>
      </c>
      <c r="G298">
        <v>75</v>
      </c>
      <c r="H298">
        <v>2</v>
      </c>
      <c r="I298">
        <v>1</v>
      </c>
      <c r="J298" t="s">
        <v>1484</v>
      </c>
      <c r="K298" t="s">
        <v>1485</v>
      </c>
      <c r="L298">
        <v>2</v>
      </c>
      <c r="M298" t="s">
        <v>15</v>
      </c>
      <c r="N298">
        <v>4</v>
      </c>
      <c r="O298" t="s">
        <v>13</v>
      </c>
      <c r="P298">
        <v>9</v>
      </c>
      <c r="Q298" s="4">
        <v>45654</v>
      </c>
      <c r="R298" s="4"/>
      <c r="S298" t="str">
        <f>TEXT(Table1[[#This Row],[Hiring Date]],"mmmm")</f>
        <v>December</v>
      </c>
      <c r="T298" s="1">
        <f>COUNTIF(S:S,Table1[[#This Row],[Months List]])</f>
        <v>0</v>
      </c>
      <c r="U298" t="str">
        <f>TEXT(Table1[[#This Row],[Hiring Date]],"dddd")</f>
        <v>Saturday</v>
      </c>
      <c r="V298" s="1" t="str">
        <f>TEXT(Table1[[#This Row],[Hiring Date]],"yyyy")</f>
        <v>2024</v>
      </c>
    </row>
    <row r="299" spans="1:22">
      <c r="A299" t="s">
        <v>1275</v>
      </c>
      <c r="B299">
        <v>31</v>
      </c>
      <c r="C299">
        <v>1079</v>
      </c>
      <c r="D299" t="s">
        <v>11</v>
      </c>
      <c r="E299" t="s">
        <v>1498</v>
      </c>
      <c r="F299" t="s">
        <v>1496</v>
      </c>
      <c r="G299">
        <v>70</v>
      </c>
      <c r="H299">
        <v>3</v>
      </c>
      <c r="I299">
        <v>3</v>
      </c>
      <c r="J299" t="s">
        <v>1474</v>
      </c>
      <c r="K299" t="s">
        <v>1475</v>
      </c>
      <c r="L299">
        <v>3</v>
      </c>
      <c r="M299" t="s">
        <v>15</v>
      </c>
      <c r="N299">
        <v>2</v>
      </c>
      <c r="O299" t="s">
        <v>13</v>
      </c>
      <c r="P299">
        <v>10</v>
      </c>
      <c r="Q299" s="4">
        <v>45645</v>
      </c>
      <c r="R299" s="4"/>
      <c r="S299" t="str">
        <f>TEXT(Table1[[#This Row],[Hiring Date]],"mmmm")</f>
        <v>December</v>
      </c>
      <c r="T299" s="1">
        <f>COUNTIF(S:S,Table1[[#This Row],[Months List]])</f>
        <v>0</v>
      </c>
      <c r="U299" t="str">
        <f>TEXT(Table1[[#This Row],[Hiring Date]],"dddd")</f>
        <v>Thursday</v>
      </c>
      <c r="V299" s="1" t="str">
        <f>TEXT(Table1[[#This Row],[Hiring Date]],"yyyy")</f>
        <v>2024</v>
      </c>
    </row>
    <row r="300" spans="1:22">
      <c r="A300" t="s">
        <v>1276</v>
      </c>
      <c r="B300">
        <v>29</v>
      </c>
      <c r="C300">
        <v>590</v>
      </c>
      <c r="D300" t="s">
        <v>14</v>
      </c>
      <c r="E300" t="s">
        <v>1501</v>
      </c>
      <c r="F300" t="s">
        <v>1499</v>
      </c>
      <c r="G300">
        <v>91</v>
      </c>
      <c r="H300">
        <v>2</v>
      </c>
      <c r="I300">
        <v>1</v>
      </c>
      <c r="J300" t="s">
        <v>1476</v>
      </c>
      <c r="K300" t="s">
        <v>1477</v>
      </c>
      <c r="L300">
        <v>1</v>
      </c>
      <c r="M300" t="s">
        <v>16</v>
      </c>
      <c r="N300">
        <v>1</v>
      </c>
      <c r="O300" t="s">
        <v>13</v>
      </c>
      <c r="P300">
        <v>1</v>
      </c>
      <c r="Q300" s="4">
        <v>45704</v>
      </c>
      <c r="R300" s="4"/>
      <c r="S300" t="str">
        <f>TEXT(Table1[[#This Row],[Hiring Date]],"mmmm")</f>
        <v>February</v>
      </c>
      <c r="T300" s="1">
        <f>COUNTIF(S:S,Table1[[#This Row],[Months List]])</f>
        <v>0</v>
      </c>
      <c r="U300" t="str">
        <f>TEXT(Table1[[#This Row],[Hiring Date]],"dddd")</f>
        <v>Sunday</v>
      </c>
      <c r="V300" s="1" t="str">
        <f>TEXT(Table1[[#This Row],[Hiring Date]],"yyyy")</f>
        <v>2025</v>
      </c>
    </row>
    <row r="301" spans="1:22">
      <c r="A301" t="s">
        <v>134</v>
      </c>
      <c r="B301">
        <v>34</v>
      </c>
      <c r="C301">
        <v>1354</v>
      </c>
      <c r="D301" t="s">
        <v>14</v>
      </c>
      <c r="E301" t="s">
        <v>1495</v>
      </c>
      <c r="F301" t="s">
        <v>1499</v>
      </c>
      <c r="G301">
        <v>45</v>
      </c>
      <c r="H301">
        <v>2</v>
      </c>
      <c r="I301">
        <v>3</v>
      </c>
      <c r="J301" t="s">
        <v>1482</v>
      </c>
      <c r="K301" t="s">
        <v>1483</v>
      </c>
      <c r="L301">
        <v>1</v>
      </c>
      <c r="M301" t="s">
        <v>12</v>
      </c>
      <c r="N301">
        <v>2</v>
      </c>
      <c r="O301" t="s">
        <v>13</v>
      </c>
      <c r="P301">
        <v>14</v>
      </c>
      <c r="Q301" s="4">
        <v>45826</v>
      </c>
      <c r="R301" s="4"/>
      <c r="S301" t="str">
        <f>TEXT(Table1[[#This Row],[Hiring Date]],"mmmm")</f>
        <v>June</v>
      </c>
      <c r="T301" s="1">
        <f>COUNTIF(S:S,Table1[[#This Row],[Months List]])</f>
        <v>0</v>
      </c>
      <c r="U301" t="str">
        <f>TEXT(Table1[[#This Row],[Hiring Date]],"dddd")</f>
        <v>Wednesday</v>
      </c>
      <c r="V301" s="1" t="str">
        <f>TEXT(Table1[[#This Row],[Hiring Date]],"yyyy")</f>
        <v>2025</v>
      </c>
    </row>
    <row r="302" spans="1:22">
      <c r="A302" t="s">
        <v>1277</v>
      </c>
      <c r="B302">
        <v>30</v>
      </c>
      <c r="C302">
        <v>305</v>
      </c>
      <c r="D302" t="s">
        <v>14</v>
      </c>
      <c r="E302" t="s">
        <v>1497</v>
      </c>
      <c r="F302" t="s">
        <v>1496</v>
      </c>
      <c r="G302">
        <v>58</v>
      </c>
      <c r="H302">
        <v>4</v>
      </c>
      <c r="I302">
        <v>2</v>
      </c>
      <c r="J302" t="s">
        <v>1478</v>
      </c>
      <c r="K302" t="s">
        <v>1479</v>
      </c>
      <c r="L302">
        <v>3</v>
      </c>
      <c r="M302" t="s">
        <v>15</v>
      </c>
      <c r="N302">
        <v>3</v>
      </c>
      <c r="O302" t="s">
        <v>13</v>
      </c>
      <c r="P302">
        <v>10</v>
      </c>
      <c r="Q302" s="4">
        <v>45640</v>
      </c>
      <c r="R302" s="4"/>
      <c r="S302" t="str">
        <f>TEXT(Table1[[#This Row],[Hiring Date]],"mmmm")</f>
        <v>December</v>
      </c>
      <c r="T302" s="1">
        <f>COUNTIF(S:S,Table1[[#This Row],[Months List]])</f>
        <v>0</v>
      </c>
      <c r="U302" t="str">
        <f>TEXT(Table1[[#This Row],[Hiring Date]],"dddd")</f>
        <v>Saturday</v>
      </c>
      <c r="V302" s="1" t="str">
        <f>TEXT(Table1[[#This Row],[Hiring Date]],"yyyy")</f>
        <v>2024</v>
      </c>
    </row>
    <row r="303" spans="1:22">
      <c r="A303" t="s">
        <v>1278</v>
      </c>
      <c r="B303">
        <v>32</v>
      </c>
      <c r="C303">
        <v>953</v>
      </c>
      <c r="D303" t="s">
        <v>14</v>
      </c>
      <c r="E303" t="s">
        <v>1501</v>
      </c>
      <c r="F303" t="s">
        <v>1496</v>
      </c>
      <c r="G303">
        <v>65</v>
      </c>
      <c r="H303">
        <v>3</v>
      </c>
      <c r="I303">
        <v>1</v>
      </c>
      <c r="J303" t="s">
        <v>1476</v>
      </c>
      <c r="K303" t="s">
        <v>1477</v>
      </c>
      <c r="L303">
        <v>2</v>
      </c>
      <c r="M303" t="s">
        <v>12</v>
      </c>
      <c r="N303">
        <v>2</v>
      </c>
      <c r="O303" t="s">
        <v>13</v>
      </c>
      <c r="P303">
        <v>12</v>
      </c>
      <c r="Q303" s="4">
        <v>45640</v>
      </c>
      <c r="R303" s="4"/>
      <c r="S303" t="str">
        <f>TEXT(Table1[[#This Row],[Hiring Date]],"mmmm")</f>
        <v>December</v>
      </c>
      <c r="T303" s="1">
        <f>COUNTIF(S:S,Table1[[#This Row],[Months List]])</f>
        <v>0</v>
      </c>
      <c r="U303" t="str">
        <f>TEXT(Table1[[#This Row],[Hiring Date]],"dddd")</f>
        <v>Saturday</v>
      </c>
      <c r="V303" s="1" t="str">
        <f>TEXT(Table1[[#This Row],[Hiring Date]],"yyyy")</f>
        <v>2024</v>
      </c>
    </row>
    <row r="304" spans="1:22">
      <c r="A304" t="s">
        <v>1279</v>
      </c>
      <c r="B304">
        <v>38</v>
      </c>
      <c r="C304">
        <v>833</v>
      </c>
      <c r="D304" t="s">
        <v>14</v>
      </c>
      <c r="E304" t="s">
        <v>1495</v>
      </c>
      <c r="F304" t="s">
        <v>1496</v>
      </c>
      <c r="G304">
        <v>60</v>
      </c>
      <c r="H304">
        <v>1</v>
      </c>
      <c r="I304">
        <v>2</v>
      </c>
      <c r="J304" t="s">
        <v>1478</v>
      </c>
      <c r="K304" t="s">
        <v>1479</v>
      </c>
      <c r="L304">
        <v>4</v>
      </c>
      <c r="M304" t="s">
        <v>15</v>
      </c>
      <c r="N304">
        <v>3</v>
      </c>
      <c r="O304" t="s">
        <v>10</v>
      </c>
      <c r="P304">
        <v>15</v>
      </c>
      <c r="Q304" s="4">
        <v>45837</v>
      </c>
      <c r="R304" s="4"/>
      <c r="S304" t="str">
        <f>TEXT(Table1[[#This Row],[Hiring Date]],"mmmm")</f>
        <v>June</v>
      </c>
      <c r="T304" s="1">
        <f>COUNTIF(S:S,Table1[[#This Row],[Months List]])</f>
        <v>0</v>
      </c>
      <c r="U304" t="str">
        <f>TEXT(Table1[[#This Row],[Hiring Date]],"dddd")</f>
        <v>Sunday</v>
      </c>
      <c r="V304" s="1" t="str">
        <f>TEXT(Table1[[#This Row],[Hiring Date]],"yyyy")</f>
        <v>2025</v>
      </c>
    </row>
    <row r="305" spans="1:22">
      <c r="A305" t="s">
        <v>1280</v>
      </c>
      <c r="B305">
        <v>43</v>
      </c>
      <c r="C305">
        <v>807</v>
      </c>
      <c r="D305" t="s">
        <v>14</v>
      </c>
      <c r="E305" t="s">
        <v>1501</v>
      </c>
      <c r="F305" t="s">
        <v>1496</v>
      </c>
      <c r="G305">
        <v>38</v>
      </c>
      <c r="H305">
        <v>2</v>
      </c>
      <c r="I305">
        <v>1</v>
      </c>
      <c r="J305" t="s">
        <v>1476</v>
      </c>
      <c r="K305" t="s">
        <v>1477</v>
      </c>
      <c r="L305">
        <v>3</v>
      </c>
      <c r="M305" t="s">
        <v>15</v>
      </c>
      <c r="N305">
        <v>9</v>
      </c>
      <c r="O305" t="s">
        <v>10</v>
      </c>
      <c r="P305">
        <v>6</v>
      </c>
      <c r="Q305" s="4">
        <v>45674</v>
      </c>
      <c r="R305" s="4"/>
      <c r="S305" t="str">
        <f>TEXT(Table1[[#This Row],[Hiring Date]],"mmmm")</f>
        <v>January</v>
      </c>
      <c r="T305" s="1">
        <f>COUNTIF(S:S,Table1[[#This Row],[Months List]])</f>
        <v>0</v>
      </c>
      <c r="U305" t="str">
        <f>TEXT(Table1[[#This Row],[Hiring Date]],"dddd")</f>
        <v>Friday</v>
      </c>
      <c r="V305" s="1" t="str">
        <f>TEXT(Table1[[#This Row],[Hiring Date]],"yyyy")</f>
        <v>2025</v>
      </c>
    </row>
    <row r="306" spans="1:22">
      <c r="A306" t="s">
        <v>1281</v>
      </c>
      <c r="B306">
        <v>42</v>
      </c>
      <c r="C306">
        <v>855</v>
      </c>
      <c r="D306" t="s">
        <v>14</v>
      </c>
      <c r="E306" t="s">
        <v>1495</v>
      </c>
      <c r="F306" t="s">
        <v>1496</v>
      </c>
      <c r="G306">
        <v>57</v>
      </c>
      <c r="H306">
        <v>3</v>
      </c>
      <c r="I306">
        <v>1</v>
      </c>
      <c r="J306" t="s">
        <v>1484</v>
      </c>
      <c r="K306" t="s">
        <v>1485</v>
      </c>
      <c r="L306">
        <v>2</v>
      </c>
      <c r="M306" t="s">
        <v>16</v>
      </c>
      <c r="N306">
        <v>8</v>
      </c>
      <c r="O306" t="s">
        <v>13</v>
      </c>
      <c r="P306">
        <v>7</v>
      </c>
      <c r="Q306" s="4">
        <v>45771</v>
      </c>
      <c r="R306" s="4"/>
      <c r="S306" t="str">
        <f>TEXT(Table1[[#This Row],[Hiring Date]],"mmmm")</f>
        <v>April</v>
      </c>
      <c r="T306" s="1">
        <f>COUNTIF(S:S,Table1[[#This Row],[Months List]])</f>
        <v>0</v>
      </c>
      <c r="U306" t="str">
        <f>TEXT(Table1[[#This Row],[Hiring Date]],"dddd")</f>
        <v>Thursday</v>
      </c>
      <c r="V306" s="1" t="str">
        <f>TEXT(Table1[[#This Row],[Hiring Date]],"yyyy")</f>
        <v>2025</v>
      </c>
    </row>
    <row r="307" spans="1:22">
      <c r="A307" t="s">
        <v>1282</v>
      </c>
      <c r="B307">
        <v>55</v>
      </c>
      <c r="C307">
        <v>478</v>
      </c>
      <c r="D307" t="s">
        <v>14</v>
      </c>
      <c r="E307" t="s">
        <v>1495</v>
      </c>
      <c r="F307" t="s">
        <v>1496</v>
      </c>
      <c r="G307">
        <v>60</v>
      </c>
      <c r="H307">
        <v>2</v>
      </c>
      <c r="I307">
        <v>5</v>
      </c>
      <c r="J307" t="s">
        <v>1487</v>
      </c>
      <c r="K307" t="s">
        <v>1488</v>
      </c>
      <c r="L307">
        <v>1</v>
      </c>
      <c r="M307" t="s">
        <v>15</v>
      </c>
      <c r="N307">
        <v>8</v>
      </c>
      <c r="O307" t="s">
        <v>13</v>
      </c>
      <c r="P307">
        <v>34</v>
      </c>
      <c r="Q307" s="4">
        <v>45700</v>
      </c>
      <c r="R307" s="4"/>
      <c r="S307" t="str">
        <f>TEXT(Table1[[#This Row],[Hiring Date]],"mmmm")</f>
        <v>February</v>
      </c>
      <c r="T307" s="1">
        <f>COUNTIF(S:S,Table1[[#This Row],[Months List]])</f>
        <v>0</v>
      </c>
      <c r="U307" t="str">
        <f>TEXT(Table1[[#This Row],[Hiring Date]],"dddd")</f>
        <v>Wednesday</v>
      </c>
      <c r="V307" s="1" t="str">
        <f>TEXT(Table1[[#This Row],[Hiring Date]],"yyyy")</f>
        <v>2025</v>
      </c>
    </row>
    <row r="308" spans="1:22">
      <c r="A308" t="s">
        <v>1283</v>
      </c>
      <c r="B308">
        <v>33</v>
      </c>
      <c r="C308">
        <v>775</v>
      </c>
      <c r="D308" t="s">
        <v>14</v>
      </c>
      <c r="E308" t="s">
        <v>1501</v>
      </c>
      <c r="F308" t="s">
        <v>1496</v>
      </c>
      <c r="G308">
        <v>90</v>
      </c>
      <c r="H308">
        <v>3</v>
      </c>
      <c r="I308">
        <v>2</v>
      </c>
      <c r="J308" t="s">
        <v>1476</v>
      </c>
      <c r="K308" t="s">
        <v>1477</v>
      </c>
      <c r="L308">
        <v>2</v>
      </c>
      <c r="M308" t="s">
        <v>16</v>
      </c>
      <c r="N308">
        <v>5</v>
      </c>
      <c r="O308" t="s">
        <v>13</v>
      </c>
      <c r="P308">
        <v>11</v>
      </c>
      <c r="Q308" s="4">
        <v>45831</v>
      </c>
      <c r="R308" s="4"/>
      <c r="S308" t="str">
        <f>TEXT(Table1[[#This Row],[Hiring Date]],"mmmm")</f>
        <v>June</v>
      </c>
      <c r="T308" s="1">
        <f>COUNTIF(S:S,Table1[[#This Row],[Months List]])</f>
        <v>0</v>
      </c>
      <c r="U308" t="str">
        <f>TEXT(Table1[[#This Row],[Hiring Date]],"dddd")</f>
        <v>Monday</v>
      </c>
      <c r="V308" s="1" t="str">
        <f>TEXT(Table1[[#This Row],[Hiring Date]],"yyyy")</f>
        <v>2025</v>
      </c>
    </row>
    <row r="309" spans="1:22">
      <c r="A309" t="s">
        <v>1284</v>
      </c>
      <c r="B309">
        <v>41</v>
      </c>
      <c r="C309">
        <v>548</v>
      </c>
      <c r="D309" t="s">
        <v>14</v>
      </c>
      <c r="E309" t="s">
        <v>1497</v>
      </c>
      <c r="F309" t="s">
        <v>1496</v>
      </c>
      <c r="G309">
        <v>94</v>
      </c>
      <c r="H309">
        <v>3</v>
      </c>
      <c r="I309">
        <v>1</v>
      </c>
      <c r="J309" t="s">
        <v>1484</v>
      </c>
      <c r="K309" t="s">
        <v>1485</v>
      </c>
      <c r="L309">
        <v>1</v>
      </c>
      <c r="M309" t="s">
        <v>16</v>
      </c>
      <c r="N309">
        <v>1</v>
      </c>
      <c r="O309" t="s">
        <v>13</v>
      </c>
      <c r="P309">
        <v>5</v>
      </c>
      <c r="Q309" s="4">
        <v>45982</v>
      </c>
      <c r="R309" s="4"/>
      <c r="S309" t="str">
        <f>TEXT(Table1[[#This Row],[Hiring Date]],"mmmm")</f>
        <v>November</v>
      </c>
      <c r="T309" s="1">
        <f>COUNTIF(S:S,Table1[[#This Row],[Months List]])</f>
        <v>0</v>
      </c>
      <c r="U309" t="str">
        <f>TEXT(Table1[[#This Row],[Hiring Date]],"dddd")</f>
        <v>Friday</v>
      </c>
      <c r="V309" s="1" t="str">
        <f>TEXT(Table1[[#This Row],[Hiring Date]],"yyyy")</f>
        <v>2025</v>
      </c>
    </row>
    <row r="310" spans="1:22">
      <c r="A310" t="s">
        <v>1285</v>
      </c>
      <c r="B310">
        <v>34</v>
      </c>
      <c r="C310">
        <v>1375</v>
      </c>
      <c r="D310" t="s">
        <v>11</v>
      </c>
      <c r="E310" t="s">
        <v>1497</v>
      </c>
      <c r="F310" t="s">
        <v>1496</v>
      </c>
      <c r="G310">
        <v>87</v>
      </c>
      <c r="H310">
        <v>3</v>
      </c>
      <c r="I310">
        <v>2</v>
      </c>
      <c r="J310" t="s">
        <v>1474</v>
      </c>
      <c r="K310" t="s">
        <v>1475</v>
      </c>
      <c r="L310">
        <v>3</v>
      </c>
      <c r="M310" t="s">
        <v>16</v>
      </c>
      <c r="N310">
        <v>1</v>
      </c>
      <c r="O310" t="s">
        <v>10</v>
      </c>
      <c r="P310">
        <v>15</v>
      </c>
      <c r="Q310" s="4">
        <v>45903</v>
      </c>
      <c r="R310" s="4"/>
      <c r="S310" t="str">
        <f>TEXT(Table1[[#This Row],[Hiring Date]],"mmmm")</f>
        <v>September</v>
      </c>
      <c r="T310" s="1">
        <f>COUNTIF(S:S,Table1[[#This Row],[Months List]])</f>
        <v>0</v>
      </c>
      <c r="U310" t="str">
        <f>TEXT(Table1[[#This Row],[Hiring Date]],"dddd")</f>
        <v>Wednesday</v>
      </c>
      <c r="V310" s="1" t="str">
        <f>TEXT(Table1[[#This Row],[Hiring Date]],"yyyy")</f>
        <v>2025</v>
      </c>
    </row>
    <row r="311" spans="1:22">
      <c r="A311" t="s">
        <v>1286</v>
      </c>
      <c r="B311">
        <v>53</v>
      </c>
      <c r="C311">
        <v>661</v>
      </c>
      <c r="D311" t="s">
        <v>14</v>
      </c>
      <c r="E311" t="s">
        <v>1495</v>
      </c>
      <c r="F311" t="s">
        <v>1499</v>
      </c>
      <c r="G311">
        <v>60</v>
      </c>
      <c r="H311">
        <v>2</v>
      </c>
      <c r="I311">
        <v>4</v>
      </c>
      <c r="J311" t="s">
        <v>1480</v>
      </c>
      <c r="K311" t="s">
        <v>1481</v>
      </c>
      <c r="L311">
        <v>3</v>
      </c>
      <c r="M311" t="s">
        <v>15</v>
      </c>
      <c r="N311">
        <v>4</v>
      </c>
      <c r="O311" t="s">
        <v>10</v>
      </c>
      <c r="P311">
        <v>27</v>
      </c>
      <c r="Q311" s="4">
        <v>45736</v>
      </c>
      <c r="R311" s="4"/>
      <c r="S311" t="str">
        <f>TEXT(Table1[[#This Row],[Hiring Date]],"mmmm")</f>
        <v>March</v>
      </c>
      <c r="T311" s="1">
        <f>COUNTIF(S:S,Table1[[#This Row],[Months List]])</f>
        <v>0</v>
      </c>
      <c r="U311" t="str">
        <f>TEXT(Table1[[#This Row],[Hiring Date]],"dddd")</f>
        <v>Thursday</v>
      </c>
      <c r="V311" s="1" t="str">
        <f>TEXT(Table1[[#This Row],[Hiring Date]],"yyyy")</f>
        <v>2025</v>
      </c>
    </row>
    <row r="312" spans="1:22">
      <c r="A312" t="s">
        <v>135</v>
      </c>
      <c r="B312">
        <v>36</v>
      </c>
      <c r="C312">
        <v>1467</v>
      </c>
      <c r="D312" t="s">
        <v>11</v>
      </c>
      <c r="E312" t="s">
        <v>1501</v>
      </c>
      <c r="F312" t="s">
        <v>1499</v>
      </c>
      <c r="G312">
        <v>92</v>
      </c>
      <c r="H312">
        <v>3</v>
      </c>
      <c r="I312">
        <v>3</v>
      </c>
      <c r="J312" t="s">
        <v>1474</v>
      </c>
      <c r="K312" t="s">
        <v>1475</v>
      </c>
      <c r="L312">
        <v>4</v>
      </c>
      <c r="M312" t="s">
        <v>15</v>
      </c>
      <c r="N312">
        <v>0</v>
      </c>
      <c r="O312" t="s">
        <v>13</v>
      </c>
      <c r="P312">
        <v>10</v>
      </c>
      <c r="Q312" s="4">
        <v>45977</v>
      </c>
      <c r="R312" s="4"/>
      <c r="S312" t="str">
        <f>TEXT(Table1[[#This Row],[Hiring Date]],"mmmm")</f>
        <v>November</v>
      </c>
      <c r="T312" s="1">
        <f>COUNTIF(S:S,Table1[[#This Row],[Months List]])</f>
        <v>0</v>
      </c>
      <c r="U312" t="str">
        <f>TEXT(Table1[[#This Row],[Hiring Date]],"dddd")</f>
        <v>Sunday</v>
      </c>
      <c r="V312" s="1" t="str">
        <f>TEXT(Table1[[#This Row],[Hiring Date]],"yyyy")</f>
        <v>2025</v>
      </c>
    </row>
    <row r="313" spans="1:22">
      <c r="A313" t="s">
        <v>1287</v>
      </c>
      <c r="B313">
        <v>43</v>
      </c>
      <c r="C313">
        <v>244</v>
      </c>
      <c r="D313" t="s">
        <v>17</v>
      </c>
      <c r="E313" t="s">
        <v>1497</v>
      </c>
      <c r="F313" t="s">
        <v>1496</v>
      </c>
      <c r="G313">
        <v>97</v>
      </c>
      <c r="H313">
        <v>3</v>
      </c>
      <c r="I313">
        <v>1</v>
      </c>
      <c r="J313" t="s">
        <v>1486</v>
      </c>
      <c r="K313" t="s">
        <v>17</v>
      </c>
      <c r="L313">
        <v>4</v>
      </c>
      <c r="M313" t="s">
        <v>12</v>
      </c>
      <c r="N313">
        <v>0</v>
      </c>
      <c r="O313" t="s">
        <v>13</v>
      </c>
      <c r="P313">
        <v>10</v>
      </c>
      <c r="Q313" s="4">
        <v>45917</v>
      </c>
      <c r="R313" s="4"/>
      <c r="S313" t="str">
        <f>TEXT(Table1[[#This Row],[Hiring Date]],"mmmm")</f>
        <v>September</v>
      </c>
      <c r="T313" s="1">
        <f>COUNTIF(S:S,Table1[[#This Row],[Months List]])</f>
        <v>0</v>
      </c>
      <c r="U313" t="str">
        <f>TEXT(Table1[[#This Row],[Hiring Date]],"dddd")</f>
        <v>Wednesday</v>
      </c>
      <c r="V313" s="1" t="str">
        <f>TEXT(Table1[[#This Row],[Hiring Date]],"yyyy")</f>
        <v>2025</v>
      </c>
    </row>
    <row r="314" spans="1:22">
      <c r="A314" t="s">
        <v>1288</v>
      </c>
      <c r="B314">
        <v>34</v>
      </c>
      <c r="C314">
        <v>511</v>
      </c>
      <c r="D314" t="s">
        <v>11</v>
      </c>
      <c r="E314" t="s">
        <v>1497</v>
      </c>
      <c r="F314" t="s">
        <v>1499</v>
      </c>
      <c r="G314">
        <v>32</v>
      </c>
      <c r="H314">
        <v>1</v>
      </c>
      <c r="I314">
        <v>2</v>
      </c>
      <c r="J314" t="s">
        <v>1474</v>
      </c>
      <c r="K314" t="s">
        <v>1475</v>
      </c>
      <c r="L314">
        <v>4</v>
      </c>
      <c r="M314" t="s">
        <v>12</v>
      </c>
      <c r="N314">
        <v>5</v>
      </c>
      <c r="O314" t="s">
        <v>13</v>
      </c>
      <c r="P314">
        <v>6</v>
      </c>
      <c r="Q314" s="4">
        <v>45666</v>
      </c>
      <c r="R314" s="4"/>
      <c r="S314" t="str">
        <f>TEXT(Table1[[#This Row],[Hiring Date]],"mmmm")</f>
        <v>January</v>
      </c>
      <c r="T314" s="1">
        <f>COUNTIF(S:S,Table1[[#This Row],[Months List]])</f>
        <v>0</v>
      </c>
      <c r="U314" t="str">
        <f>TEXT(Table1[[#This Row],[Hiring Date]],"dddd")</f>
        <v>Thursday</v>
      </c>
      <c r="V314" s="1" t="str">
        <f>TEXT(Table1[[#This Row],[Hiring Date]],"yyyy")</f>
        <v>2025</v>
      </c>
    </row>
    <row r="315" spans="1:22">
      <c r="A315" t="s">
        <v>1289</v>
      </c>
      <c r="B315">
        <v>21</v>
      </c>
      <c r="C315">
        <v>337</v>
      </c>
      <c r="D315" t="s">
        <v>11</v>
      </c>
      <c r="E315" t="s">
        <v>1498</v>
      </c>
      <c r="F315" t="s">
        <v>1496</v>
      </c>
      <c r="G315">
        <v>31</v>
      </c>
      <c r="H315">
        <v>3</v>
      </c>
      <c r="I315">
        <v>1</v>
      </c>
      <c r="J315" t="s">
        <v>1489</v>
      </c>
      <c r="K315" t="s">
        <v>1490</v>
      </c>
      <c r="L315">
        <v>2</v>
      </c>
      <c r="M315" t="s">
        <v>12</v>
      </c>
      <c r="N315">
        <v>1</v>
      </c>
      <c r="O315" t="s">
        <v>13</v>
      </c>
      <c r="P315">
        <v>1</v>
      </c>
      <c r="Q315" s="4">
        <v>45828</v>
      </c>
      <c r="R315" s="4"/>
      <c r="S315" t="str">
        <f>TEXT(Table1[[#This Row],[Hiring Date]],"mmmm")</f>
        <v>June</v>
      </c>
      <c r="T315" s="1">
        <f>COUNTIF(S:S,Table1[[#This Row],[Months List]])</f>
        <v>0</v>
      </c>
      <c r="U315" t="str">
        <f>TEXT(Table1[[#This Row],[Hiring Date]],"dddd")</f>
        <v>Friday</v>
      </c>
      <c r="V315" s="1" t="str">
        <f>TEXT(Table1[[#This Row],[Hiring Date]],"yyyy")</f>
        <v>2025</v>
      </c>
    </row>
    <row r="316" spans="1:22">
      <c r="A316" t="s">
        <v>1290</v>
      </c>
      <c r="B316">
        <v>38</v>
      </c>
      <c r="C316">
        <v>1153</v>
      </c>
      <c r="D316" t="s">
        <v>14</v>
      </c>
      <c r="E316" t="s">
        <v>1500</v>
      </c>
      <c r="F316" t="s">
        <v>1499</v>
      </c>
      <c r="G316">
        <v>40</v>
      </c>
      <c r="H316">
        <v>2</v>
      </c>
      <c r="I316">
        <v>1</v>
      </c>
      <c r="J316" t="s">
        <v>1484</v>
      </c>
      <c r="K316" t="s">
        <v>1485</v>
      </c>
      <c r="L316">
        <v>3</v>
      </c>
      <c r="M316" t="s">
        <v>15</v>
      </c>
      <c r="N316">
        <v>1</v>
      </c>
      <c r="O316" t="s">
        <v>13</v>
      </c>
      <c r="P316">
        <v>5</v>
      </c>
      <c r="Q316" s="4">
        <v>45805</v>
      </c>
      <c r="R316" s="4"/>
      <c r="S316" t="str">
        <f>TEXT(Table1[[#This Row],[Hiring Date]],"mmmm")</f>
        <v>May</v>
      </c>
      <c r="T316" s="1">
        <f>COUNTIF(S:S,Table1[[#This Row],[Months List]])</f>
        <v>0</v>
      </c>
      <c r="U316" t="str">
        <f>TEXT(Table1[[#This Row],[Hiring Date]],"dddd")</f>
        <v>Wednesday</v>
      </c>
      <c r="V316" s="1" t="str">
        <f>TEXT(Table1[[#This Row],[Hiring Date]],"yyyy")</f>
        <v>2025</v>
      </c>
    </row>
    <row r="317" spans="1:22">
      <c r="A317" t="s">
        <v>1291</v>
      </c>
      <c r="B317">
        <v>22</v>
      </c>
      <c r="C317">
        <v>1294</v>
      </c>
      <c r="D317" t="s">
        <v>14</v>
      </c>
      <c r="E317" t="s">
        <v>1495</v>
      </c>
      <c r="F317" t="s">
        <v>1499</v>
      </c>
      <c r="G317">
        <v>79</v>
      </c>
      <c r="H317">
        <v>3</v>
      </c>
      <c r="I317">
        <v>1</v>
      </c>
      <c r="J317" t="s">
        <v>1484</v>
      </c>
      <c r="K317" t="s">
        <v>1485</v>
      </c>
      <c r="L317">
        <v>1</v>
      </c>
      <c r="M317" t="s">
        <v>15</v>
      </c>
      <c r="N317">
        <v>1</v>
      </c>
      <c r="O317" t="s">
        <v>10</v>
      </c>
      <c r="P317">
        <v>1</v>
      </c>
      <c r="Q317" s="4">
        <v>45773</v>
      </c>
      <c r="R317" s="4"/>
      <c r="S317" t="str">
        <f>TEXT(Table1[[#This Row],[Hiring Date]],"mmmm")</f>
        <v>April</v>
      </c>
      <c r="T317" s="1">
        <f>COUNTIF(S:S,Table1[[#This Row],[Months List]])</f>
        <v>0</v>
      </c>
      <c r="U317" t="str">
        <f>TEXT(Table1[[#This Row],[Hiring Date]],"dddd")</f>
        <v>Saturday</v>
      </c>
      <c r="V317" s="1" t="str">
        <f>TEXT(Table1[[#This Row],[Hiring Date]],"yyyy")</f>
        <v>2025</v>
      </c>
    </row>
    <row r="318" spans="1:22">
      <c r="A318" t="s">
        <v>1292</v>
      </c>
      <c r="B318">
        <v>31</v>
      </c>
      <c r="C318">
        <v>196</v>
      </c>
      <c r="D318" t="s">
        <v>11</v>
      </c>
      <c r="E318" t="s">
        <v>1498</v>
      </c>
      <c r="F318" t="s">
        <v>1499</v>
      </c>
      <c r="G318">
        <v>91</v>
      </c>
      <c r="H318">
        <v>2</v>
      </c>
      <c r="I318">
        <v>2</v>
      </c>
      <c r="J318" t="s">
        <v>1474</v>
      </c>
      <c r="K318" t="s">
        <v>1475</v>
      </c>
      <c r="L318">
        <v>4</v>
      </c>
      <c r="M318" t="s">
        <v>15</v>
      </c>
      <c r="N318">
        <v>1</v>
      </c>
      <c r="O318" t="s">
        <v>13</v>
      </c>
      <c r="P318">
        <v>13</v>
      </c>
      <c r="Q318" s="4">
        <v>45675</v>
      </c>
      <c r="R318" s="4"/>
      <c r="S318" t="str">
        <f>TEXT(Table1[[#This Row],[Hiring Date]],"mmmm")</f>
        <v>January</v>
      </c>
      <c r="T318" s="1">
        <f>COUNTIF(S:S,Table1[[#This Row],[Months List]])</f>
        <v>0</v>
      </c>
      <c r="U318" t="str">
        <f>TEXT(Table1[[#This Row],[Hiring Date]],"dddd")</f>
        <v>Saturday</v>
      </c>
      <c r="V318" s="1" t="str">
        <f>TEXT(Table1[[#This Row],[Hiring Date]],"yyyy")</f>
        <v>2025</v>
      </c>
    </row>
    <row r="319" spans="1:22">
      <c r="A319" t="s">
        <v>1293</v>
      </c>
      <c r="B319">
        <v>51</v>
      </c>
      <c r="C319">
        <v>942</v>
      </c>
      <c r="D319" t="s">
        <v>14</v>
      </c>
      <c r="E319" t="s">
        <v>1501</v>
      </c>
      <c r="F319" t="s">
        <v>1499</v>
      </c>
      <c r="G319">
        <v>53</v>
      </c>
      <c r="H319">
        <v>3</v>
      </c>
      <c r="I319">
        <v>3</v>
      </c>
      <c r="J319" t="s">
        <v>1482</v>
      </c>
      <c r="K319" t="s">
        <v>1483</v>
      </c>
      <c r="L319">
        <v>3</v>
      </c>
      <c r="M319" t="s">
        <v>15</v>
      </c>
      <c r="N319">
        <v>2</v>
      </c>
      <c r="O319" t="s">
        <v>13</v>
      </c>
      <c r="P319">
        <v>15</v>
      </c>
      <c r="Q319" s="4">
        <v>45957</v>
      </c>
      <c r="R319" s="4"/>
      <c r="S319" t="str">
        <f>TEXT(Table1[[#This Row],[Hiring Date]],"mmmm")</f>
        <v>October</v>
      </c>
      <c r="T319" s="1">
        <f>COUNTIF(S:S,Table1[[#This Row],[Months List]])</f>
        <v>0</v>
      </c>
      <c r="U319" t="str">
        <f>TEXT(Table1[[#This Row],[Hiring Date]],"dddd")</f>
        <v>Monday</v>
      </c>
      <c r="V319" s="1" t="str">
        <f>TEXT(Table1[[#This Row],[Hiring Date]],"yyyy")</f>
        <v>2025</v>
      </c>
    </row>
    <row r="320" spans="1:22">
      <c r="A320" t="s">
        <v>1294</v>
      </c>
      <c r="B320">
        <v>37</v>
      </c>
      <c r="C320">
        <v>589</v>
      </c>
      <c r="D320" t="s">
        <v>11</v>
      </c>
      <c r="E320" t="s">
        <v>1498</v>
      </c>
      <c r="F320" t="s">
        <v>1496</v>
      </c>
      <c r="G320">
        <v>46</v>
      </c>
      <c r="H320">
        <v>2</v>
      </c>
      <c r="I320">
        <v>2</v>
      </c>
      <c r="J320" t="s">
        <v>1474</v>
      </c>
      <c r="K320" t="s">
        <v>1475</v>
      </c>
      <c r="L320">
        <v>2</v>
      </c>
      <c r="M320" t="s">
        <v>15</v>
      </c>
      <c r="N320">
        <v>1</v>
      </c>
      <c r="O320" t="s">
        <v>13</v>
      </c>
      <c r="P320">
        <v>5</v>
      </c>
      <c r="Q320" s="4">
        <v>45657</v>
      </c>
      <c r="R320" s="4"/>
      <c r="S320" t="str">
        <f>TEXT(Table1[[#This Row],[Hiring Date]],"mmmm")</f>
        <v>December</v>
      </c>
      <c r="T320" s="1">
        <f>COUNTIF(S:S,Table1[[#This Row],[Months List]])</f>
        <v>0</v>
      </c>
      <c r="U320" t="str">
        <f>TEXT(Table1[[#This Row],[Hiring Date]],"dddd")</f>
        <v>Tuesday</v>
      </c>
      <c r="V320" s="1" t="str">
        <f>TEXT(Table1[[#This Row],[Hiring Date]],"yyyy")</f>
        <v>2024</v>
      </c>
    </row>
    <row r="321" spans="1:22">
      <c r="A321" t="s">
        <v>1295</v>
      </c>
      <c r="B321">
        <v>46</v>
      </c>
      <c r="C321">
        <v>734</v>
      </c>
      <c r="D321" t="s">
        <v>14</v>
      </c>
      <c r="E321" t="s">
        <v>1495</v>
      </c>
      <c r="F321" t="s">
        <v>1496</v>
      </c>
      <c r="G321">
        <v>46</v>
      </c>
      <c r="H321">
        <v>3</v>
      </c>
      <c r="I321">
        <v>5</v>
      </c>
      <c r="J321" t="s">
        <v>1487</v>
      </c>
      <c r="K321" t="s">
        <v>1488</v>
      </c>
      <c r="L321">
        <v>4</v>
      </c>
      <c r="M321" t="s">
        <v>16</v>
      </c>
      <c r="N321">
        <v>7</v>
      </c>
      <c r="O321" t="s">
        <v>10</v>
      </c>
      <c r="P321">
        <v>24</v>
      </c>
      <c r="Q321" s="4">
        <v>45964</v>
      </c>
      <c r="R321" s="4"/>
      <c r="S321" t="str">
        <f>TEXT(Table1[[#This Row],[Hiring Date]],"mmmm")</f>
        <v>November</v>
      </c>
      <c r="T321" s="1">
        <f>COUNTIF(S:S,Table1[[#This Row],[Months List]])</f>
        <v>0</v>
      </c>
      <c r="U321" t="str">
        <f>TEXT(Table1[[#This Row],[Hiring Date]],"dddd")</f>
        <v>Monday</v>
      </c>
      <c r="V321" s="1" t="str">
        <f>TEXT(Table1[[#This Row],[Hiring Date]],"yyyy")</f>
        <v>2025</v>
      </c>
    </row>
    <row r="322" spans="1:22">
      <c r="A322" t="s">
        <v>1296</v>
      </c>
      <c r="B322">
        <v>36</v>
      </c>
      <c r="C322">
        <v>1383</v>
      </c>
      <c r="D322" t="s">
        <v>14</v>
      </c>
      <c r="E322" t="s">
        <v>1497</v>
      </c>
      <c r="F322" t="s">
        <v>1496</v>
      </c>
      <c r="G322">
        <v>90</v>
      </c>
      <c r="H322">
        <v>3</v>
      </c>
      <c r="I322">
        <v>3</v>
      </c>
      <c r="J322" t="s">
        <v>1478</v>
      </c>
      <c r="K322" t="s">
        <v>1479</v>
      </c>
      <c r="L322">
        <v>1</v>
      </c>
      <c r="M322" t="s">
        <v>15</v>
      </c>
      <c r="N322">
        <v>7</v>
      </c>
      <c r="O322" t="s">
        <v>10</v>
      </c>
      <c r="P322">
        <v>15</v>
      </c>
      <c r="Q322" s="4">
        <v>45962</v>
      </c>
      <c r="R322" s="4"/>
      <c r="S322" t="str">
        <f>TEXT(Table1[[#This Row],[Hiring Date]],"mmmm")</f>
        <v>November</v>
      </c>
      <c r="T322" s="1">
        <f>COUNTIF(S:S,Table1[[#This Row],[Months List]])</f>
        <v>0</v>
      </c>
      <c r="U322" t="str">
        <f>TEXT(Table1[[#This Row],[Hiring Date]],"dddd")</f>
        <v>Saturday</v>
      </c>
      <c r="V322" s="1" t="str">
        <f>TEXT(Table1[[#This Row],[Hiring Date]],"yyyy")</f>
        <v>2025</v>
      </c>
    </row>
    <row r="323" spans="1:22">
      <c r="A323" t="s">
        <v>136</v>
      </c>
      <c r="B323">
        <v>36</v>
      </c>
      <c r="C323">
        <v>922</v>
      </c>
      <c r="D323" t="s">
        <v>14</v>
      </c>
      <c r="E323" t="s">
        <v>1497</v>
      </c>
      <c r="F323" t="s">
        <v>1499</v>
      </c>
      <c r="G323">
        <v>39</v>
      </c>
      <c r="H323">
        <v>3</v>
      </c>
      <c r="I323">
        <v>1</v>
      </c>
      <c r="J323" t="s">
        <v>1484</v>
      </c>
      <c r="K323" t="s">
        <v>1485</v>
      </c>
      <c r="L323">
        <v>4</v>
      </c>
      <c r="M323" t="s">
        <v>16</v>
      </c>
      <c r="N323">
        <v>5</v>
      </c>
      <c r="O323" t="s">
        <v>13</v>
      </c>
      <c r="P323">
        <v>7</v>
      </c>
      <c r="Q323" s="4">
        <v>45875</v>
      </c>
      <c r="R323" s="4"/>
      <c r="S323" t="str">
        <f>TEXT(Table1[[#This Row],[Hiring Date]],"mmmm")</f>
        <v>August</v>
      </c>
      <c r="T323" s="1">
        <f>COUNTIF(S:S,Table1[[#This Row],[Months List]])</f>
        <v>0</v>
      </c>
      <c r="U323" t="str">
        <f>TEXT(Table1[[#This Row],[Hiring Date]],"dddd")</f>
        <v>Wednesday</v>
      </c>
      <c r="V323" s="1" t="str">
        <f>TEXT(Table1[[#This Row],[Hiring Date]],"yyyy")</f>
        <v>2025</v>
      </c>
    </row>
    <row r="324" spans="1:22">
      <c r="A324" t="s">
        <v>1297</v>
      </c>
      <c r="B324">
        <v>44</v>
      </c>
      <c r="C324">
        <v>429</v>
      </c>
      <c r="D324" t="s">
        <v>14</v>
      </c>
      <c r="E324" t="s">
        <v>1495</v>
      </c>
      <c r="F324" t="s">
        <v>1496</v>
      </c>
      <c r="G324">
        <v>99</v>
      </c>
      <c r="H324">
        <v>3</v>
      </c>
      <c r="I324">
        <v>1</v>
      </c>
      <c r="J324" t="s">
        <v>1476</v>
      </c>
      <c r="K324" t="s">
        <v>1477</v>
      </c>
      <c r="L324">
        <v>2</v>
      </c>
      <c r="M324" t="s">
        <v>16</v>
      </c>
      <c r="N324">
        <v>1</v>
      </c>
      <c r="O324" t="s">
        <v>10</v>
      </c>
      <c r="P324">
        <v>6</v>
      </c>
      <c r="Q324" s="4">
        <v>45729</v>
      </c>
      <c r="R324" s="4"/>
      <c r="S324" t="str">
        <f>TEXT(Table1[[#This Row],[Hiring Date]],"mmmm")</f>
        <v>March</v>
      </c>
      <c r="T324" s="1">
        <f>COUNTIF(S:S,Table1[[#This Row],[Months List]])</f>
        <v>0</v>
      </c>
      <c r="U324" t="str">
        <f>TEXT(Table1[[#This Row],[Hiring Date]],"dddd")</f>
        <v>Thursday</v>
      </c>
      <c r="V324" s="1" t="str">
        <f>TEXT(Table1[[#This Row],[Hiring Date]],"yyyy")</f>
        <v>2025</v>
      </c>
    </row>
    <row r="325" spans="1:22">
      <c r="A325" t="s">
        <v>1298</v>
      </c>
      <c r="B325">
        <v>37</v>
      </c>
      <c r="C325">
        <v>1239</v>
      </c>
      <c r="D325" t="s">
        <v>17</v>
      </c>
      <c r="E325" t="s">
        <v>1500</v>
      </c>
      <c r="F325" t="s">
        <v>1496</v>
      </c>
      <c r="G325">
        <v>89</v>
      </c>
      <c r="H325">
        <v>3</v>
      </c>
      <c r="I325">
        <v>2</v>
      </c>
      <c r="J325" t="s">
        <v>1486</v>
      </c>
      <c r="K325" t="s">
        <v>17</v>
      </c>
      <c r="L325">
        <v>2</v>
      </c>
      <c r="M325" t="s">
        <v>16</v>
      </c>
      <c r="N325">
        <v>2</v>
      </c>
      <c r="O325" t="s">
        <v>13</v>
      </c>
      <c r="P325">
        <v>19</v>
      </c>
      <c r="Q325" s="4">
        <v>45985</v>
      </c>
      <c r="R325" s="4"/>
      <c r="S325" t="str">
        <f>TEXT(Table1[[#This Row],[Hiring Date]],"mmmm")</f>
        <v>November</v>
      </c>
      <c r="T325" s="1">
        <f>COUNTIF(S:S,Table1[[#This Row],[Months List]])</f>
        <v>0</v>
      </c>
      <c r="U325" t="str">
        <f>TEXT(Table1[[#This Row],[Hiring Date]],"dddd")</f>
        <v>Monday</v>
      </c>
      <c r="V325" s="1" t="str">
        <f>TEXT(Table1[[#This Row],[Hiring Date]],"yyyy")</f>
        <v>2025</v>
      </c>
    </row>
    <row r="326" spans="1:22">
      <c r="A326" t="s">
        <v>1299</v>
      </c>
      <c r="B326">
        <v>35</v>
      </c>
      <c r="C326">
        <v>303</v>
      </c>
      <c r="D326" t="s">
        <v>11</v>
      </c>
      <c r="E326" t="s">
        <v>1497</v>
      </c>
      <c r="F326" t="s">
        <v>1496</v>
      </c>
      <c r="G326">
        <v>84</v>
      </c>
      <c r="H326">
        <v>3</v>
      </c>
      <c r="I326">
        <v>2</v>
      </c>
      <c r="J326" t="s">
        <v>1474</v>
      </c>
      <c r="K326" t="s">
        <v>1475</v>
      </c>
      <c r="L326">
        <v>4</v>
      </c>
      <c r="M326" t="s">
        <v>12</v>
      </c>
      <c r="N326">
        <v>1</v>
      </c>
      <c r="O326" t="s">
        <v>10</v>
      </c>
      <c r="P326">
        <v>10</v>
      </c>
      <c r="Q326" s="4">
        <v>45983</v>
      </c>
      <c r="R326" s="4"/>
      <c r="S326" t="str">
        <f>TEXT(Table1[[#This Row],[Hiring Date]],"mmmm")</f>
        <v>November</v>
      </c>
      <c r="T326" s="1">
        <f>COUNTIF(S:S,Table1[[#This Row],[Months List]])</f>
        <v>0</v>
      </c>
      <c r="U326" t="str">
        <f>TEXT(Table1[[#This Row],[Hiring Date]],"dddd")</f>
        <v>Saturday</v>
      </c>
      <c r="V326" s="1" t="str">
        <f>TEXT(Table1[[#This Row],[Hiring Date]],"yyyy")</f>
        <v>2025</v>
      </c>
    </row>
    <row r="327" spans="1:22">
      <c r="A327" t="s">
        <v>1300</v>
      </c>
      <c r="B327">
        <v>33</v>
      </c>
      <c r="C327">
        <v>867</v>
      </c>
      <c r="D327" t="s">
        <v>14</v>
      </c>
      <c r="E327" t="s">
        <v>1497</v>
      </c>
      <c r="F327" t="s">
        <v>1496</v>
      </c>
      <c r="G327">
        <v>90</v>
      </c>
      <c r="H327">
        <v>4</v>
      </c>
      <c r="I327">
        <v>1</v>
      </c>
      <c r="J327" t="s">
        <v>1476</v>
      </c>
      <c r="K327" t="s">
        <v>1477</v>
      </c>
      <c r="L327">
        <v>1</v>
      </c>
      <c r="M327" t="s">
        <v>15</v>
      </c>
      <c r="N327">
        <v>6</v>
      </c>
      <c r="O327" t="s">
        <v>13</v>
      </c>
      <c r="P327">
        <v>14</v>
      </c>
      <c r="Q327" s="4">
        <v>45691</v>
      </c>
      <c r="R327" s="4"/>
      <c r="S327" t="str">
        <f>TEXT(Table1[[#This Row],[Hiring Date]],"mmmm")</f>
        <v>February</v>
      </c>
      <c r="T327" s="1">
        <f>COUNTIF(S:S,Table1[[#This Row],[Months List]])</f>
        <v>0</v>
      </c>
      <c r="U327" t="str">
        <f>TEXT(Table1[[#This Row],[Hiring Date]],"dddd")</f>
        <v>Monday</v>
      </c>
      <c r="V327" s="1" t="str">
        <f>TEXT(Table1[[#This Row],[Hiring Date]],"yyyy")</f>
        <v>2025</v>
      </c>
    </row>
    <row r="328" spans="1:22">
      <c r="A328" t="s">
        <v>1301</v>
      </c>
      <c r="B328">
        <v>28</v>
      </c>
      <c r="C328">
        <v>1181</v>
      </c>
      <c r="D328" t="s">
        <v>14</v>
      </c>
      <c r="E328" t="s">
        <v>1497</v>
      </c>
      <c r="F328" t="s">
        <v>1496</v>
      </c>
      <c r="G328">
        <v>82</v>
      </c>
      <c r="H328">
        <v>3</v>
      </c>
      <c r="I328">
        <v>1</v>
      </c>
      <c r="J328" t="s">
        <v>1476</v>
      </c>
      <c r="K328" t="s">
        <v>1477</v>
      </c>
      <c r="L328">
        <v>4</v>
      </c>
      <c r="M328" t="s">
        <v>15</v>
      </c>
      <c r="N328">
        <v>1</v>
      </c>
      <c r="O328" t="s">
        <v>13</v>
      </c>
      <c r="P328">
        <v>5</v>
      </c>
      <c r="Q328" s="4">
        <v>45785</v>
      </c>
      <c r="R328" s="4"/>
      <c r="S328" t="str">
        <f>TEXT(Table1[[#This Row],[Hiring Date]],"mmmm")</f>
        <v>May</v>
      </c>
      <c r="T328" s="1">
        <f>COUNTIF(S:S,Table1[[#This Row],[Months List]])</f>
        <v>0</v>
      </c>
      <c r="U328" t="str">
        <f>TEXT(Table1[[#This Row],[Hiring Date]],"dddd")</f>
        <v>Thursday</v>
      </c>
      <c r="V328" s="1" t="str">
        <f>TEXT(Table1[[#This Row],[Hiring Date]],"yyyy")</f>
        <v>2025</v>
      </c>
    </row>
    <row r="329" spans="1:22">
      <c r="A329" t="s">
        <v>1302</v>
      </c>
      <c r="B329">
        <v>39</v>
      </c>
      <c r="C329">
        <v>1253</v>
      </c>
      <c r="D329" t="s">
        <v>14</v>
      </c>
      <c r="E329" t="s">
        <v>1495</v>
      </c>
      <c r="F329" t="s">
        <v>1496</v>
      </c>
      <c r="G329">
        <v>65</v>
      </c>
      <c r="H329">
        <v>3</v>
      </c>
      <c r="I329">
        <v>3</v>
      </c>
      <c r="J329" t="s">
        <v>1487</v>
      </c>
      <c r="K329" t="s">
        <v>1488</v>
      </c>
      <c r="L329">
        <v>3</v>
      </c>
      <c r="M329" t="s">
        <v>12</v>
      </c>
      <c r="N329">
        <v>7</v>
      </c>
      <c r="O329" t="s">
        <v>13</v>
      </c>
      <c r="P329">
        <v>9</v>
      </c>
      <c r="Q329" s="4">
        <v>45949</v>
      </c>
      <c r="R329" s="4"/>
      <c r="S329" t="str">
        <f>TEXT(Table1[[#This Row],[Hiring Date]],"mmmm")</f>
        <v>October</v>
      </c>
      <c r="T329" s="1">
        <f>COUNTIF(S:S,Table1[[#This Row],[Months List]])</f>
        <v>0</v>
      </c>
      <c r="U329" t="str">
        <f>TEXT(Table1[[#This Row],[Hiring Date]],"dddd")</f>
        <v>Sunday</v>
      </c>
      <c r="V329" s="1" t="str">
        <f>TEXT(Table1[[#This Row],[Hiring Date]],"yyyy")</f>
        <v>2025</v>
      </c>
    </row>
    <row r="330" spans="1:22">
      <c r="A330" t="s">
        <v>1303</v>
      </c>
      <c r="B330">
        <v>46</v>
      </c>
      <c r="C330">
        <v>849</v>
      </c>
      <c r="D330" t="s">
        <v>11</v>
      </c>
      <c r="E330" t="s">
        <v>1497</v>
      </c>
      <c r="F330" t="s">
        <v>1496</v>
      </c>
      <c r="G330">
        <v>98</v>
      </c>
      <c r="H330">
        <v>2</v>
      </c>
      <c r="I330">
        <v>2</v>
      </c>
      <c r="J330" t="s">
        <v>1474</v>
      </c>
      <c r="K330" t="s">
        <v>1475</v>
      </c>
      <c r="L330">
        <v>2</v>
      </c>
      <c r="M330" t="s">
        <v>12</v>
      </c>
      <c r="N330">
        <v>8</v>
      </c>
      <c r="O330" t="s">
        <v>13</v>
      </c>
      <c r="P330">
        <v>6</v>
      </c>
      <c r="Q330" s="4">
        <v>45874</v>
      </c>
      <c r="R330" s="4"/>
      <c r="S330" t="str">
        <f>TEXT(Table1[[#This Row],[Hiring Date]],"mmmm")</f>
        <v>August</v>
      </c>
      <c r="T330" s="1">
        <f>COUNTIF(S:S,Table1[[#This Row],[Months List]])</f>
        <v>0</v>
      </c>
      <c r="U330" t="str">
        <f>TEXT(Table1[[#This Row],[Hiring Date]],"dddd")</f>
        <v>Tuesday</v>
      </c>
      <c r="V330" s="1" t="str">
        <f>TEXT(Table1[[#This Row],[Hiring Date]],"yyyy")</f>
        <v>2025</v>
      </c>
    </row>
    <row r="331" spans="1:22">
      <c r="A331" t="s">
        <v>1304</v>
      </c>
      <c r="B331">
        <v>40</v>
      </c>
      <c r="C331">
        <v>616</v>
      </c>
      <c r="D331" t="s">
        <v>14</v>
      </c>
      <c r="E331" t="s">
        <v>1497</v>
      </c>
      <c r="F331" t="s">
        <v>1499</v>
      </c>
      <c r="G331">
        <v>99</v>
      </c>
      <c r="H331">
        <v>3</v>
      </c>
      <c r="I331">
        <v>1</v>
      </c>
      <c r="J331" t="s">
        <v>1484</v>
      </c>
      <c r="K331" t="s">
        <v>1485</v>
      </c>
      <c r="L331">
        <v>1</v>
      </c>
      <c r="M331" t="s">
        <v>15</v>
      </c>
      <c r="N331">
        <v>4</v>
      </c>
      <c r="O331" t="s">
        <v>13</v>
      </c>
      <c r="P331">
        <v>7</v>
      </c>
      <c r="Q331" s="4">
        <v>45719</v>
      </c>
      <c r="R331" s="4"/>
      <c r="S331" t="str">
        <f>TEXT(Table1[[#This Row],[Hiring Date]],"mmmm")</f>
        <v>March</v>
      </c>
      <c r="T331" s="1">
        <f>COUNTIF(S:S,Table1[[#This Row],[Months List]])</f>
        <v>0</v>
      </c>
      <c r="U331" t="str">
        <f>TEXT(Table1[[#This Row],[Hiring Date]],"dddd")</f>
        <v>Monday</v>
      </c>
      <c r="V331" s="1" t="str">
        <f>TEXT(Table1[[#This Row],[Hiring Date]],"yyyy")</f>
        <v>2025</v>
      </c>
    </row>
    <row r="332" spans="1:22">
      <c r="A332" t="s">
        <v>1305</v>
      </c>
      <c r="B332">
        <v>42</v>
      </c>
      <c r="C332">
        <v>1128</v>
      </c>
      <c r="D332" t="s">
        <v>14</v>
      </c>
      <c r="E332" t="s">
        <v>1495</v>
      </c>
      <c r="F332" t="s">
        <v>1496</v>
      </c>
      <c r="G332">
        <v>95</v>
      </c>
      <c r="H332">
        <v>4</v>
      </c>
      <c r="I332">
        <v>2</v>
      </c>
      <c r="J332" t="s">
        <v>1478</v>
      </c>
      <c r="K332" t="s">
        <v>1479</v>
      </c>
      <c r="L332">
        <v>1</v>
      </c>
      <c r="M332" t="s">
        <v>15</v>
      </c>
      <c r="N332">
        <v>5</v>
      </c>
      <c r="O332" t="s">
        <v>13</v>
      </c>
      <c r="P332">
        <v>10</v>
      </c>
      <c r="Q332" s="4">
        <v>45811</v>
      </c>
      <c r="R332" s="4"/>
      <c r="S332" t="str">
        <f>TEXT(Table1[[#This Row],[Hiring Date]],"mmmm")</f>
        <v>June</v>
      </c>
      <c r="T332" s="1">
        <f>COUNTIF(S:S,Table1[[#This Row],[Months List]])</f>
        <v>0</v>
      </c>
      <c r="U332" t="str">
        <f>TEXT(Table1[[#This Row],[Hiring Date]],"dddd")</f>
        <v>Tuesday</v>
      </c>
      <c r="V332" s="1" t="str">
        <f>TEXT(Table1[[#This Row],[Hiring Date]],"yyyy")</f>
        <v>2025</v>
      </c>
    </row>
    <row r="333" spans="1:22">
      <c r="A333" t="s">
        <v>1306</v>
      </c>
      <c r="B333">
        <v>35</v>
      </c>
      <c r="C333">
        <v>1180</v>
      </c>
      <c r="D333" t="s">
        <v>14</v>
      </c>
      <c r="E333" t="s">
        <v>1495</v>
      </c>
      <c r="F333" t="s">
        <v>1496</v>
      </c>
      <c r="G333">
        <v>90</v>
      </c>
      <c r="H333">
        <v>3</v>
      </c>
      <c r="I333">
        <v>2</v>
      </c>
      <c r="J333" t="s">
        <v>1480</v>
      </c>
      <c r="K333" t="s">
        <v>1481</v>
      </c>
      <c r="L333">
        <v>4</v>
      </c>
      <c r="M333" t="s">
        <v>16</v>
      </c>
      <c r="N333">
        <v>2</v>
      </c>
      <c r="O333" t="s">
        <v>13</v>
      </c>
      <c r="P333">
        <v>15</v>
      </c>
      <c r="Q333" s="4">
        <v>45702</v>
      </c>
      <c r="R333" s="4"/>
      <c r="S333" t="str">
        <f>TEXT(Table1[[#This Row],[Hiring Date]],"mmmm")</f>
        <v>February</v>
      </c>
      <c r="T333" s="1">
        <f>COUNTIF(S:S,Table1[[#This Row],[Months List]])</f>
        <v>0</v>
      </c>
      <c r="U333" t="str">
        <f>TEXT(Table1[[#This Row],[Hiring Date]],"dddd")</f>
        <v>Friday</v>
      </c>
      <c r="V333" s="1" t="str">
        <f>TEXT(Table1[[#This Row],[Hiring Date]],"yyyy")</f>
        <v>2025</v>
      </c>
    </row>
    <row r="334" spans="1:22">
      <c r="A334" t="s">
        <v>20</v>
      </c>
      <c r="B334">
        <v>37</v>
      </c>
      <c r="C334">
        <v>1373</v>
      </c>
      <c r="D334" t="s">
        <v>14</v>
      </c>
      <c r="E334" t="s">
        <v>1500</v>
      </c>
      <c r="F334" t="s">
        <v>1496</v>
      </c>
      <c r="G334">
        <v>92</v>
      </c>
      <c r="H334">
        <v>2</v>
      </c>
      <c r="I334">
        <v>1</v>
      </c>
      <c r="J334" t="s">
        <v>1484</v>
      </c>
      <c r="K334" t="s">
        <v>1485</v>
      </c>
      <c r="L334">
        <v>3</v>
      </c>
      <c r="M334" t="s">
        <v>12</v>
      </c>
      <c r="N334">
        <v>6</v>
      </c>
      <c r="O334" t="s">
        <v>10</v>
      </c>
      <c r="P334">
        <v>7</v>
      </c>
      <c r="Q334" s="4">
        <v>45966</v>
      </c>
      <c r="R334" s="4"/>
      <c r="S334" t="str">
        <f>TEXT(Table1[[#This Row],[Hiring Date]],"mmmm")</f>
        <v>November</v>
      </c>
      <c r="T334" s="1">
        <f>COUNTIF(S:S,Table1[[#This Row],[Months List]])</f>
        <v>0</v>
      </c>
      <c r="U334" t="str">
        <f>TEXT(Table1[[#This Row],[Hiring Date]],"dddd")</f>
        <v>Wednesday</v>
      </c>
      <c r="V334" s="1" t="str">
        <f>TEXT(Table1[[#This Row],[Hiring Date]],"yyyy")</f>
        <v>2025</v>
      </c>
    </row>
    <row r="335" spans="1:22">
      <c r="A335" t="s">
        <v>137</v>
      </c>
      <c r="B335">
        <v>43</v>
      </c>
      <c r="C335">
        <v>394</v>
      </c>
      <c r="D335" t="s">
        <v>11</v>
      </c>
      <c r="E335" t="s">
        <v>1497</v>
      </c>
      <c r="F335" t="s">
        <v>1496</v>
      </c>
      <c r="G335">
        <v>92</v>
      </c>
      <c r="H335">
        <v>3</v>
      </c>
      <c r="I335">
        <v>4</v>
      </c>
      <c r="J335" t="s">
        <v>1482</v>
      </c>
      <c r="K335" t="s">
        <v>1483</v>
      </c>
      <c r="L335">
        <v>4</v>
      </c>
      <c r="M335" t="s">
        <v>15</v>
      </c>
      <c r="N335">
        <v>1</v>
      </c>
      <c r="O335" t="s">
        <v>10</v>
      </c>
      <c r="P335">
        <v>25</v>
      </c>
      <c r="Q335" s="4">
        <v>45966</v>
      </c>
      <c r="R335" s="4"/>
      <c r="S335" t="str">
        <f>TEXT(Table1[[#This Row],[Hiring Date]],"mmmm")</f>
        <v>November</v>
      </c>
      <c r="T335" s="1">
        <f>COUNTIF(S:S,Table1[[#This Row],[Months List]])</f>
        <v>0</v>
      </c>
      <c r="U335" t="str">
        <f>TEXT(Table1[[#This Row],[Hiring Date]],"dddd")</f>
        <v>Wednesday</v>
      </c>
      <c r="V335" s="1" t="str">
        <f>TEXT(Table1[[#This Row],[Hiring Date]],"yyyy")</f>
        <v>2025</v>
      </c>
    </row>
    <row r="336" spans="1:22">
      <c r="A336" t="s">
        <v>1307</v>
      </c>
      <c r="B336">
        <v>38</v>
      </c>
      <c r="C336">
        <v>1336</v>
      </c>
      <c r="D336" t="s">
        <v>17</v>
      </c>
      <c r="E336" t="s">
        <v>17</v>
      </c>
      <c r="F336" t="s">
        <v>1496</v>
      </c>
      <c r="G336">
        <v>100</v>
      </c>
      <c r="H336">
        <v>3</v>
      </c>
      <c r="I336">
        <v>1</v>
      </c>
      <c r="J336" t="s">
        <v>1486</v>
      </c>
      <c r="K336" t="s">
        <v>17</v>
      </c>
      <c r="L336">
        <v>2</v>
      </c>
      <c r="M336" t="s">
        <v>16</v>
      </c>
      <c r="N336">
        <v>5</v>
      </c>
      <c r="O336" t="s">
        <v>13</v>
      </c>
      <c r="P336">
        <v>13</v>
      </c>
      <c r="Q336" s="4">
        <v>45936</v>
      </c>
      <c r="R336" s="4"/>
      <c r="S336" t="str">
        <f>TEXT(Table1[[#This Row],[Hiring Date]],"mmmm")</f>
        <v>October</v>
      </c>
      <c r="T336" s="1">
        <f>COUNTIF(S:S,Table1[[#This Row],[Months List]])</f>
        <v>0</v>
      </c>
      <c r="U336" t="str">
        <f>TEXT(Table1[[#This Row],[Hiring Date]],"dddd")</f>
        <v>Monday</v>
      </c>
      <c r="V336" s="1" t="str">
        <f>TEXT(Table1[[#This Row],[Hiring Date]],"yyyy")</f>
        <v>2025</v>
      </c>
    </row>
    <row r="337" spans="1:22">
      <c r="A337" t="s">
        <v>1308</v>
      </c>
      <c r="B337">
        <v>34</v>
      </c>
      <c r="C337">
        <v>234</v>
      </c>
      <c r="D337" t="s">
        <v>14</v>
      </c>
      <c r="E337" t="s">
        <v>1497</v>
      </c>
      <c r="F337" t="s">
        <v>1496</v>
      </c>
      <c r="G337">
        <v>93</v>
      </c>
      <c r="H337">
        <v>3</v>
      </c>
      <c r="I337">
        <v>2</v>
      </c>
      <c r="J337" t="s">
        <v>1484</v>
      </c>
      <c r="K337" t="s">
        <v>1485</v>
      </c>
      <c r="L337">
        <v>1</v>
      </c>
      <c r="M337" t="s">
        <v>15</v>
      </c>
      <c r="N337">
        <v>4</v>
      </c>
      <c r="O337" t="s">
        <v>13</v>
      </c>
      <c r="P337">
        <v>11</v>
      </c>
      <c r="Q337" s="4">
        <v>45778</v>
      </c>
      <c r="R337" s="4"/>
      <c r="S337" t="str">
        <f>TEXT(Table1[[#This Row],[Hiring Date]],"mmmm")</f>
        <v>May</v>
      </c>
      <c r="T337" s="1">
        <f>COUNTIF(S:S,Table1[[#This Row],[Months List]])</f>
        <v>0</v>
      </c>
      <c r="U337" t="str">
        <f>TEXT(Table1[[#This Row],[Hiring Date]],"dddd")</f>
        <v>Thursday</v>
      </c>
      <c r="V337" s="1" t="str">
        <f>TEXT(Table1[[#This Row],[Hiring Date]],"yyyy")</f>
        <v>2025</v>
      </c>
    </row>
    <row r="338" spans="1:22">
      <c r="A338" t="s">
        <v>1309</v>
      </c>
      <c r="B338">
        <v>37</v>
      </c>
      <c r="C338">
        <v>370</v>
      </c>
      <c r="D338" t="s">
        <v>14</v>
      </c>
      <c r="E338" t="s">
        <v>1495</v>
      </c>
      <c r="F338" t="s">
        <v>1496</v>
      </c>
      <c r="G338">
        <v>58</v>
      </c>
      <c r="H338">
        <v>3</v>
      </c>
      <c r="I338">
        <v>2</v>
      </c>
      <c r="J338" t="s">
        <v>1480</v>
      </c>
      <c r="K338" t="s">
        <v>1481</v>
      </c>
      <c r="L338">
        <v>1</v>
      </c>
      <c r="M338" t="s">
        <v>12</v>
      </c>
      <c r="N338">
        <v>1</v>
      </c>
      <c r="O338" t="s">
        <v>13</v>
      </c>
      <c r="P338">
        <v>10</v>
      </c>
      <c r="Q338" s="4">
        <v>45969</v>
      </c>
      <c r="R338" s="4"/>
      <c r="S338" t="str">
        <f>TEXT(Table1[[#This Row],[Hiring Date]],"mmmm")</f>
        <v>November</v>
      </c>
      <c r="T338" s="1">
        <f>COUNTIF(S:S,Table1[[#This Row],[Months List]])</f>
        <v>0</v>
      </c>
      <c r="U338" t="str">
        <f>TEXT(Table1[[#This Row],[Hiring Date]],"dddd")</f>
        <v>Saturday</v>
      </c>
      <c r="V338" s="1" t="str">
        <f>TEXT(Table1[[#This Row],[Hiring Date]],"yyyy")</f>
        <v>2025</v>
      </c>
    </row>
    <row r="339" spans="1:22">
      <c r="A339" t="s">
        <v>1310</v>
      </c>
      <c r="B339">
        <v>39</v>
      </c>
      <c r="C339">
        <v>766</v>
      </c>
      <c r="D339" t="s">
        <v>11</v>
      </c>
      <c r="E339" t="s">
        <v>1497</v>
      </c>
      <c r="F339" t="s">
        <v>1496</v>
      </c>
      <c r="G339">
        <v>83</v>
      </c>
      <c r="H339">
        <v>3</v>
      </c>
      <c r="I339">
        <v>2</v>
      </c>
      <c r="J339" t="s">
        <v>1474</v>
      </c>
      <c r="K339" t="s">
        <v>1475</v>
      </c>
      <c r="L339">
        <v>4</v>
      </c>
      <c r="M339" t="s">
        <v>16</v>
      </c>
      <c r="N339">
        <v>2</v>
      </c>
      <c r="O339" t="s">
        <v>13</v>
      </c>
      <c r="P339">
        <v>7</v>
      </c>
      <c r="Q339" s="4">
        <v>45803</v>
      </c>
      <c r="R339" s="4"/>
      <c r="S339" t="str">
        <f>TEXT(Table1[[#This Row],[Hiring Date]],"mmmm")</f>
        <v>May</v>
      </c>
      <c r="T339" s="1">
        <f>COUNTIF(S:S,Table1[[#This Row],[Months List]])</f>
        <v>0</v>
      </c>
      <c r="U339" t="str">
        <f>TEXT(Table1[[#This Row],[Hiring Date]],"dddd")</f>
        <v>Monday</v>
      </c>
      <c r="V339" s="1" t="str">
        <f>TEXT(Table1[[#This Row],[Hiring Date]],"yyyy")</f>
        <v>2025</v>
      </c>
    </row>
    <row r="340" spans="1:22">
      <c r="A340" t="s">
        <v>1311</v>
      </c>
      <c r="B340">
        <v>43</v>
      </c>
      <c r="C340">
        <v>343</v>
      </c>
      <c r="D340" t="s">
        <v>14</v>
      </c>
      <c r="E340" t="s">
        <v>1497</v>
      </c>
      <c r="F340" t="s">
        <v>1496</v>
      </c>
      <c r="G340">
        <v>52</v>
      </c>
      <c r="H340">
        <v>3</v>
      </c>
      <c r="I340">
        <v>1</v>
      </c>
      <c r="J340" t="s">
        <v>1476</v>
      </c>
      <c r="K340" t="s">
        <v>1477</v>
      </c>
      <c r="L340">
        <v>3</v>
      </c>
      <c r="M340" t="s">
        <v>12</v>
      </c>
      <c r="N340">
        <v>4</v>
      </c>
      <c r="O340" t="s">
        <v>13</v>
      </c>
      <c r="P340">
        <v>7</v>
      </c>
      <c r="Q340" s="4">
        <v>45817</v>
      </c>
      <c r="R340" s="4"/>
      <c r="S340" t="str">
        <f>TEXT(Table1[[#This Row],[Hiring Date]],"mmmm")</f>
        <v>June</v>
      </c>
      <c r="T340" s="1">
        <f>COUNTIF(S:S,Table1[[#This Row],[Months List]])</f>
        <v>0</v>
      </c>
      <c r="U340" t="str">
        <f>TEXT(Table1[[#This Row],[Hiring Date]],"dddd")</f>
        <v>Monday</v>
      </c>
      <c r="V340" s="1" t="str">
        <f>TEXT(Table1[[#This Row],[Hiring Date]],"yyyy")</f>
        <v>2025</v>
      </c>
    </row>
    <row r="341" spans="1:22">
      <c r="A341" t="s">
        <v>1312</v>
      </c>
      <c r="B341">
        <v>41</v>
      </c>
      <c r="C341">
        <v>447</v>
      </c>
      <c r="D341" t="s">
        <v>14</v>
      </c>
      <c r="E341" t="s">
        <v>1497</v>
      </c>
      <c r="F341" t="s">
        <v>1496</v>
      </c>
      <c r="G341">
        <v>85</v>
      </c>
      <c r="H341">
        <v>4</v>
      </c>
      <c r="I341">
        <v>2</v>
      </c>
      <c r="J341" t="s">
        <v>1478</v>
      </c>
      <c r="K341" t="s">
        <v>1479</v>
      </c>
      <c r="L341">
        <v>2</v>
      </c>
      <c r="M341" t="s">
        <v>12</v>
      </c>
      <c r="N341">
        <v>3</v>
      </c>
      <c r="O341" t="s">
        <v>13</v>
      </c>
      <c r="P341">
        <v>11</v>
      </c>
      <c r="Q341" s="4">
        <v>45892</v>
      </c>
      <c r="R341" s="4"/>
      <c r="S341" t="str">
        <f>TEXT(Table1[[#This Row],[Hiring Date]],"mmmm")</f>
        <v>August</v>
      </c>
      <c r="T341" s="1">
        <f>COUNTIF(S:S,Table1[[#This Row],[Months List]])</f>
        <v>0</v>
      </c>
      <c r="U341" t="str">
        <f>TEXT(Table1[[#This Row],[Hiring Date]],"dddd")</f>
        <v>Saturday</v>
      </c>
      <c r="V341" s="1" t="str">
        <f>TEXT(Table1[[#This Row],[Hiring Date]],"yyyy")</f>
        <v>2025</v>
      </c>
    </row>
    <row r="342" spans="1:22">
      <c r="A342" t="s">
        <v>1313</v>
      </c>
      <c r="B342">
        <v>41</v>
      </c>
      <c r="C342">
        <v>796</v>
      </c>
      <c r="D342" t="s">
        <v>11</v>
      </c>
      <c r="E342" t="s">
        <v>1498</v>
      </c>
      <c r="F342" t="s">
        <v>1499</v>
      </c>
      <c r="G342">
        <v>81</v>
      </c>
      <c r="H342">
        <v>3</v>
      </c>
      <c r="I342">
        <v>3</v>
      </c>
      <c r="J342" t="s">
        <v>1474</v>
      </c>
      <c r="K342" t="s">
        <v>1475</v>
      </c>
      <c r="L342">
        <v>3</v>
      </c>
      <c r="M342" t="s">
        <v>16</v>
      </c>
      <c r="N342">
        <v>0</v>
      </c>
      <c r="O342" t="s">
        <v>10</v>
      </c>
      <c r="P342">
        <v>23</v>
      </c>
      <c r="Q342" s="4">
        <v>45917</v>
      </c>
      <c r="R342" s="4"/>
      <c r="S342" t="str">
        <f>TEXT(Table1[[#This Row],[Hiring Date]],"mmmm")</f>
        <v>September</v>
      </c>
      <c r="T342" s="1">
        <f>COUNTIF(S:S,Table1[[#This Row],[Months List]])</f>
        <v>0</v>
      </c>
      <c r="U342" t="str">
        <f>TEXT(Table1[[#This Row],[Hiring Date]],"dddd")</f>
        <v>Wednesday</v>
      </c>
      <c r="V342" s="1" t="str">
        <f>TEXT(Table1[[#This Row],[Hiring Date]],"yyyy")</f>
        <v>2025</v>
      </c>
    </row>
    <row r="343" spans="1:22">
      <c r="A343" t="s">
        <v>1314</v>
      </c>
      <c r="B343">
        <v>30</v>
      </c>
      <c r="C343">
        <v>1092</v>
      </c>
      <c r="D343" t="s">
        <v>14</v>
      </c>
      <c r="E343" t="s">
        <v>1495</v>
      </c>
      <c r="F343" t="s">
        <v>1499</v>
      </c>
      <c r="G343">
        <v>64</v>
      </c>
      <c r="H343">
        <v>3</v>
      </c>
      <c r="I343">
        <v>3</v>
      </c>
      <c r="J343" t="s">
        <v>1480</v>
      </c>
      <c r="K343" t="s">
        <v>1481</v>
      </c>
      <c r="L343">
        <v>3</v>
      </c>
      <c r="M343" t="s">
        <v>12</v>
      </c>
      <c r="N343">
        <v>9</v>
      </c>
      <c r="O343" t="s">
        <v>13</v>
      </c>
      <c r="P343">
        <v>9</v>
      </c>
      <c r="Q343" s="4">
        <v>45695</v>
      </c>
      <c r="R343" s="4"/>
      <c r="S343" t="str">
        <f>TEXT(Table1[[#This Row],[Hiring Date]],"mmmm")</f>
        <v>February</v>
      </c>
      <c r="T343" s="1">
        <f>COUNTIF(S:S,Table1[[#This Row],[Months List]])</f>
        <v>0</v>
      </c>
      <c r="U343" t="str">
        <f>TEXT(Table1[[#This Row],[Hiring Date]],"dddd")</f>
        <v>Friday</v>
      </c>
      <c r="V343" s="1" t="str">
        <f>TEXT(Table1[[#This Row],[Hiring Date]],"yyyy")</f>
        <v>2025</v>
      </c>
    </row>
    <row r="344" spans="1:22">
      <c r="A344" t="s">
        <v>1315</v>
      </c>
      <c r="B344">
        <v>26</v>
      </c>
      <c r="C344">
        <v>920</v>
      </c>
      <c r="D344" t="s">
        <v>17</v>
      </c>
      <c r="E344" t="s">
        <v>1495</v>
      </c>
      <c r="F344" t="s">
        <v>1499</v>
      </c>
      <c r="G344">
        <v>69</v>
      </c>
      <c r="H344">
        <v>3</v>
      </c>
      <c r="I344">
        <v>1</v>
      </c>
      <c r="J344" t="s">
        <v>1486</v>
      </c>
      <c r="K344" t="s">
        <v>17</v>
      </c>
      <c r="L344">
        <v>2</v>
      </c>
      <c r="M344" t="s">
        <v>15</v>
      </c>
      <c r="N344">
        <v>0</v>
      </c>
      <c r="O344" t="s">
        <v>10</v>
      </c>
      <c r="P344">
        <v>6</v>
      </c>
      <c r="Q344" s="4">
        <v>45768</v>
      </c>
      <c r="R344" s="4"/>
      <c r="S344" t="str">
        <f>TEXT(Table1[[#This Row],[Hiring Date]],"mmmm")</f>
        <v>April</v>
      </c>
      <c r="T344" s="1">
        <f>COUNTIF(S:S,Table1[[#This Row],[Months List]])</f>
        <v>0</v>
      </c>
      <c r="U344" t="str">
        <f>TEXT(Table1[[#This Row],[Hiring Date]],"dddd")</f>
        <v>Monday</v>
      </c>
      <c r="V344" s="1" t="str">
        <f>TEXT(Table1[[#This Row],[Hiring Date]],"yyyy")</f>
        <v>2025</v>
      </c>
    </row>
    <row r="345" spans="1:22">
      <c r="A345" t="s">
        <v>1316</v>
      </c>
      <c r="B345">
        <v>46</v>
      </c>
      <c r="C345">
        <v>261</v>
      </c>
      <c r="D345" t="s">
        <v>14</v>
      </c>
      <c r="E345" t="s">
        <v>1495</v>
      </c>
      <c r="F345" t="s">
        <v>1499</v>
      </c>
      <c r="G345">
        <v>66</v>
      </c>
      <c r="H345">
        <v>3</v>
      </c>
      <c r="I345">
        <v>2</v>
      </c>
      <c r="J345" t="s">
        <v>1478</v>
      </c>
      <c r="K345" t="s">
        <v>1479</v>
      </c>
      <c r="L345">
        <v>2</v>
      </c>
      <c r="M345" t="s">
        <v>15</v>
      </c>
      <c r="N345">
        <v>4</v>
      </c>
      <c r="O345" t="s">
        <v>13</v>
      </c>
      <c r="P345">
        <v>13</v>
      </c>
      <c r="Q345" s="4">
        <v>45655</v>
      </c>
      <c r="R345" s="4"/>
      <c r="S345" t="str">
        <f>TEXT(Table1[[#This Row],[Hiring Date]],"mmmm")</f>
        <v>December</v>
      </c>
      <c r="T345" s="1">
        <f>COUNTIF(S:S,Table1[[#This Row],[Months List]])</f>
        <v>0</v>
      </c>
      <c r="U345" t="str">
        <f>TEXT(Table1[[#This Row],[Hiring Date]],"dddd")</f>
        <v>Sunday</v>
      </c>
      <c r="V345" s="1" t="str">
        <f>TEXT(Table1[[#This Row],[Hiring Date]],"yyyy")</f>
        <v>2024</v>
      </c>
    </row>
    <row r="346" spans="1:22">
      <c r="A346" t="s">
        <v>138</v>
      </c>
      <c r="B346">
        <v>30</v>
      </c>
      <c r="C346">
        <v>1312</v>
      </c>
      <c r="D346" t="s">
        <v>14</v>
      </c>
      <c r="E346" t="s">
        <v>1497</v>
      </c>
      <c r="F346" t="s">
        <v>1496</v>
      </c>
      <c r="G346">
        <v>96</v>
      </c>
      <c r="H346">
        <v>1</v>
      </c>
      <c r="I346">
        <v>1</v>
      </c>
      <c r="J346" t="s">
        <v>1476</v>
      </c>
      <c r="K346" t="s">
        <v>1477</v>
      </c>
      <c r="L346">
        <v>3</v>
      </c>
      <c r="M346" t="s">
        <v>16</v>
      </c>
      <c r="N346">
        <v>1</v>
      </c>
      <c r="O346" t="s">
        <v>13</v>
      </c>
      <c r="P346">
        <v>10</v>
      </c>
      <c r="Q346" s="4">
        <v>45728</v>
      </c>
      <c r="R346" s="4"/>
      <c r="S346" t="str">
        <f>TEXT(Table1[[#This Row],[Hiring Date]],"mmmm")</f>
        <v>March</v>
      </c>
      <c r="T346" s="1">
        <f>COUNTIF(S:S,Table1[[#This Row],[Months List]])</f>
        <v>0</v>
      </c>
      <c r="U346" t="str">
        <f>TEXT(Table1[[#This Row],[Hiring Date]],"dddd")</f>
        <v>Wednesday</v>
      </c>
      <c r="V346" s="1" t="str">
        <f>TEXT(Table1[[#This Row],[Hiring Date]],"yyyy")</f>
        <v>2025</v>
      </c>
    </row>
    <row r="347" spans="1:22">
      <c r="A347" t="s">
        <v>138</v>
      </c>
      <c r="B347">
        <v>30</v>
      </c>
      <c r="C347">
        <v>1312</v>
      </c>
      <c r="D347" t="s">
        <v>14</v>
      </c>
      <c r="E347" t="s">
        <v>1497</v>
      </c>
      <c r="F347" t="s">
        <v>1496</v>
      </c>
      <c r="G347">
        <v>96</v>
      </c>
      <c r="H347">
        <v>1</v>
      </c>
      <c r="I347">
        <v>1</v>
      </c>
      <c r="J347" t="s">
        <v>1476</v>
      </c>
      <c r="K347" t="s">
        <v>1477</v>
      </c>
      <c r="L347">
        <v>3</v>
      </c>
      <c r="M347" t="s">
        <v>16</v>
      </c>
      <c r="N347">
        <v>1</v>
      </c>
      <c r="O347" t="s">
        <v>13</v>
      </c>
      <c r="P347">
        <v>10</v>
      </c>
      <c r="Q347" s="4">
        <v>45858</v>
      </c>
      <c r="R347" s="4"/>
      <c r="S347" t="str">
        <f>TEXT(Table1[[#This Row],[Hiring Date]],"mmmm")</f>
        <v>July</v>
      </c>
      <c r="T347" s="1">
        <f>COUNTIF(S:S,Table1[[#This Row],[Months List]])</f>
        <v>0</v>
      </c>
      <c r="U347" t="str">
        <f>TEXT(Table1[[#This Row],[Hiring Date]],"dddd")</f>
        <v>Sunday</v>
      </c>
      <c r="V347" s="1" t="str">
        <f>TEXT(Table1[[#This Row],[Hiring Date]],"yyyy")</f>
        <v>2025</v>
      </c>
    </row>
    <row r="348" spans="1:22">
      <c r="A348" t="s">
        <v>1317</v>
      </c>
      <c r="B348">
        <v>40</v>
      </c>
      <c r="C348">
        <v>1194</v>
      </c>
      <c r="D348" t="s">
        <v>14</v>
      </c>
      <c r="E348" t="s">
        <v>1497</v>
      </c>
      <c r="F348" t="s">
        <v>1499</v>
      </c>
      <c r="G348">
        <v>52</v>
      </c>
      <c r="H348">
        <v>3</v>
      </c>
      <c r="I348">
        <v>2</v>
      </c>
      <c r="J348" t="s">
        <v>1478</v>
      </c>
      <c r="K348" t="s">
        <v>1479</v>
      </c>
      <c r="L348">
        <v>4</v>
      </c>
      <c r="M348" t="s">
        <v>16</v>
      </c>
      <c r="N348">
        <v>4</v>
      </c>
      <c r="O348" t="s">
        <v>13</v>
      </c>
      <c r="P348">
        <v>12</v>
      </c>
      <c r="Q348" s="4">
        <v>45930</v>
      </c>
      <c r="R348" s="4"/>
      <c r="S348" t="str">
        <f>TEXT(Table1[[#This Row],[Hiring Date]],"mmmm")</f>
        <v>September</v>
      </c>
      <c r="T348" s="1">
        <f>COUNTIF(S:S,Table1[[#This Row],[Months List]])</f>
        <v>0</v>
      </c>
      <c r="U348" t="str">
        <f>TEXT(Table1[[#This Row],[Hiring Date]],"dddd")</f>
        <v>Tuesday</v>
      </c>
      <c r="V348" s="1" t="str">
        <f>TEXT(Table1[[#This Row],[Hiring Date]],"yyyy")</f>
        <v>2025</v>
      </c>
    </row>
    <row r="349" spans="1:22">
      <c r="A349" t="s">
        <v>1318</v>
      </c>
      <c r="B349">
        <v>34</v>
      </c>
      <c r="C349">
        <v>810</v>
      </c>
      <c r="D349" t="s">
        <v>11</v>
      </c>
      <c r="E349" t="s">
        <v>1501</v>
      </c>
      <c r="F349" t="s">
        <v>1496</v>
      </c>
      <c r="G349">
        <v>92</v>
      </c>
      <c r="H349">
        <v>4</v>
      </c>
      <c r="I349">
        <v>2</v>
      </c>
      <c r="J349" t="s">
        <v>1474</v>
      </c>
      <c r="K349" t="s">
        <v>1475</v>
      </c>
      <c r="L349">
        <v>3</v>
      </c>
      <c r="M349" t="s">
        <v>15</v>
      </c>
      <c r="N349">
        <v>1</v>
      </c>
      <c r="O349" t="s">
        <v>13</v>
      </c>
      <c r="P349">
        <v>10</v>
      </c>
      <c r="Q349" s="4">
        <v>45952</v>
      </c>
      <c r="R349" s="4"/>
      <c r="S349" t="str">
        <f>TEXT(Table1[[#This Row],[Hiring Date]],"mmmm")</f>
        <v>October</v>
      </c>
      <c r="T349" s="1">
        <f>COUNTIF(S:S,Table1[[#This Row],[Months List]])</f>
        <v>0</v>
      </c>
      <c r="U349" t="str">
        <f>TEXT(Table1[[#This Row],[Hiring Date]],"dddd")</f>
        <v>Wednesday</v>
      </c>
      <c r="V349" s="1" t="str">
        <f>TEXT(Table1[[#This Row],[Hiring Date]],"yyyy")</f>
        <v>2025</v>
      </c>
    </row>
    <row r="350" spans="1:22">
      <c r="A350" t="s">
        <v>1319</v>
      </c>
      <c r="B350">
        <v>58</v>
      </c>
      <c r="C350">
        <v>350</v>
      </c>
      <c r="D350" t="s">
        <v>11</v>
      </c>
      <c r="E350" t="s">
        <v>1495</v>
      </c>
      <c r="F350" t="s">
        <v>1496</v>
      </c>
      <c r="G350">
        <v>52</v>
      </c>
      <c r="H350">
        <v>3</v>
      </c>
      <c r="I350">
        <v>4</v>
      </c>
      <c r="J350" t="s">
        <v>1482</v>
      </c>
      <c r="K350" t="s">
        <v>1483</v>
      </c>
      <c r="L350">
        <v>2</v>
      </c>
      <c r="M350" t="s">
        <v>16</v>
      </c>
      <c r="N350">
        <v>4</v>
      </c>
      <c r="O350" t="s">
        <v>13</v>
      </c>
      <c r="P350">
        <v>37</v>
      </c>
      <c r="Q350" s="4">
        <v>45961</v>
      </c>
      <c r="R350" s="4"/>
      <c r="S350" t="str">
        <f>TEXT(Table1[[#This Row],[Hiring Date]],"mmmm")</f>
        <v>October</v>
      </c>
      <c r="T350" s="1">
        <f>COUNTIF(S:S,Table1[[#This Row],[Months List]])</f>
        <v>0</v>
      </c>
      <c r="U350" t="str">
        <f>TEXT(Table1[[#This Row],[Hiring Date]],"dddd")</f>
        <v>Friday</v>
      </c>
      <c r="V350" s="1" t="str">
        <f>TEXT(Table1[[#This Row],[Hiring Date]],"yyyy")</f>
        <v>2025</v>
      </c>
    </row>
    <row r="351" spans="1:22">
      <c r="A351" t="s">
        <v>1320</v>
      </c>
      <c r="B351">
        <v>35</v>
      </c>
      <c r="C351">
        <v>185</v>
      </c>
      <c r="D351" t="s">
        <v>14</v>
      </c>
      <c r="E351" t="s">
        <v>1495</v>
      </c>
      <c r="F351" t="s">
        <v>1496</v>
      </c>
      <c r="G351">
        <v>91</v>
      </c>
      <c r="H351">
        <v>1</v>
      </c>
      <c r="I351">
        <v>1</v>
      </c>
      <c r="J351" t="s">
        <v>1484</v>
      </c>
      <c r="K351" t="s">
        <v>1485</v>
      </c>
      <c r="L351">
        <v>3</v>
      </c>
      <c r="M351" t="s">
        <v>15</v>
      </c>
      <c r="N351">
        <v>0</v>
      </c>
      <c r="O351" t="s">
        <v>13</v>
      </c>
      <c r="P351">
        <v>6</v>
      </c>
      <c r="Q351" s="4">
        <v>45677</v>
      </c>
      <c r="R351" s="4"/>
      <c r="S351" t="str">
        <f>TEXT(Table1[[#This Row],[Hiring Date]],"mmmm")</f>
        <v>January</v>
      </c>
      <c r="T351" s="1">
        <f>COUNTIF(S:S,Table1[[#This Row],[Months List]])</f>
        <v>0</v>
      </c>
      <c r="U351" t="str">
        <f>TEXT(Table1[[#This Row],[Hiring Date]],"dddd")</f>
        <v>Monday</v>
      </c>
      <c r="V351" s="1" t="str">
        <f>TEXT(Table1[[#This Row],[Hiring Date]],"yyyy")</f>
        <v>2025</v>
      </c>
    </row>
    <row r="352" spans="1:22">
      <c r="A352" t="s">
        <v>1321</v>
      </c>
      <c r="B352">
        <v>47</v>
      </c>
      <c r="C352">
        <v>1001</v>
      </c>
      <c r="D352" t="s">
        <v>14</v>
      </c>
      <c r="E352" t="s">
        <v>1497</v>
      </c>
      <c r="F352" t="s">
        <v>1499</v>
      </c>
      <c r="G352">
        <v>92</v>
      </c>
      <c r="H352">
        <v>2</v>
      </c>
      <c r="I352">
        <v>3</v>
      </c>
      <c r="J352" t="s">
        <v>1480</v>
      </c>
      <c r="K352" t="s">
        <v>1481</v>
      </c>
      <c r="L352">
        <v>2</v>
      </c>
      <c r="M352" t="s">
        <v>16</v>
      </c>
      <c r="N352">
        <v>8</v>
      </c>
      <c r="O352" t="s">
        <v>10</v>
      </c>
      <c r="P352">
        <v>28</v>
      </c>
      <c r="Q352" s="4">
        <v>45770</v>
      </c>
      <c r="R352" s="4"/>
      <c r="S352" t="str">
        <f>TEXT(Table1[[#This Row],[Hiring Date]],"mmmm")</f>
        <v>April</v>
      </c>
      <c r="T352" s="1">
        <f>COUNTIF(S:S,Table1[[#This Row],[Months List]])</f>
        <v>0</v>
      </c>
      <c r="U352" t="str">
        <f>TEXT(Table1[[#This Row],[Hiring Date]],"dddd")</f>
        <v>Wednesday</v>
      </c>
      <c r="V352" s="1" t="str">
        <f>TEXT(Table1[[#This Row],[Hiring Date]],"yyyy")</f>
        <v>2025</v>
      </c>
    </row>
    <row r="353" spans="1:22">
      <c r="A353" t="s">
        <v>1322</v>
      </c>
      <c r="B353">
        <v>40</v>
      </c>
      <c r="C353">
        <v>750</v>
      </c>
      <c r="D353" t="s">
        <v>14</v>
      </c>
      <c r="E353" t="s">
        <v>1497</v>
      </c>
      <c r="F353" t="s">
        <v>1499</v>
      </c>
      <c r="G353">
        <v>47</v>
      </c>
      <c r="H353">
        <v>3</v>
      </c>
      <c r="I353">
        <v>2</v>
      </c>
      <c r="J353" t="s">
        <v>1478</v>
      </c>
      <c r="K353" t="s">
        <v>1479</v>
      </c>
      <c r="L353">
        <v>1</v>
      </c>
      <c r="M353" t="s">
        <v>16</v>
      </c>
      <c r="N353">
        <v>2</v>
      </c>
      <c r="O353" t="s">
        <v>13</v>
      </c>
      <c r="P353">
        <v>15</v>
      </c>
      <c r="Q353" s="4">
        <v>45733</v>
      </c>
      <c r="R353" s="4"/>
      <c r="S353" t="str">
        <f>TEXT(Table1[[#This Row],[Hiring Date]],"mmmm")</f>
        <v>March</v>
      </c>
      <c r="T353" s="1">
        <f>COUNTIF(S:S,Table1[[#This Row],[Months List]])</f>
        <v>0</v>
      </c>
      <c r="U353" t="str">
        <f>TEXT(Table1[[#This Row],[Hiring Date]],"dddd")</f>
        <v>Monday</v>
      </c>
      <c r="V353" s="1" t="str">
        <f>TEXT(Table1[[#This Row],[Hiring Date]],"yyyy")</f>
        <v>2025</v>
      </c>
    </row>
    <row r="354" spans="1:22">
      <c r="A354" t="s">
        <v>1323</v>
      </c>
      <c r="B354">
        <v>54</v>
      </c>
      <c r="C354">
        <v>431</v>
      </c>
      <c r="D354" t="s">
        <v>14</v>
      </c>
      <c r="E354" t="s">
        <v>1495</v>
      </c>
      <c r="F354" t="s">
        <v>1499</v>
      </c>
      <c r="G354">
        <v>68</v>
      </c>
      <c r="H354">
        <v>3</v>
      </c>
      <c r="I354">
        <v>2</v>
      </c>
      <c r="J354" t="s">
        <v>1476</v>
      </c>
      <c r="K354" t="s">
        <v>1477</v>
      </c>
      <c r="L354">
        <v>4</v>
      </c>
      <c r="M354" t="s">
        <v>15</v>
      </c>
      <c r="N354">
        <v>4</v>
      </c>
      <c r="O354" t="s">
        <v>13</v>
      </c>
      <c r="P354">
        <v>14</v>
      </c>
      <c r="Q354" s="4">
        <v>45753</v>
      </c>
      <c r="R354" s="4"/>
      <c r="S354" t="str">
        <f>TEXT(Table1[[#This Row],[Hiring Date]],"mmmm")</f>
        <v>April</v>
      </c>
      <c r="T354" s="1">
        <f>COUNTIF(S:S,Table1[[#This Row],[Months List]])</f>
        <v>0</v>
      </c>
      <c r="U354" t="str">
        <f>TEXT(Table1[[#This Row],[Hiring Date]],"dddd")</f>
        <v>Sunday</v>
      </c>
      <c r="V354" s="1" t="str">
        <f>TEXT(Table1[[#This Row],[Hiring Date]],"yyyy")</f>
        <v>2025</v>
      </c>
    </row>
    <row r="355" spans="1:22">
      <c r="A355" t="s">
        <v>1324</v>
      </c>
      <c r="B355">
        <v>31</v>
      </c>
      <c r="C355">
        <v>1125</v>
      </c>
      <c r="D355" t="s">
        <v>11</v>
      </c>
      <c r="E355" t="s">
        <v>1498</v>
      </c>
      <c r="F355" t="s">
        <v>1499</v>
      </c>
      <c r="G355">
        <v>68</v>
      </c>
      <c r="H355">
        <v>3</v>
      </c>
      <c r="I355">
        <v>3</v>
      </c>
      <c r="J355" t="s">
        <v>1474</v>
      </c>
      <c r="K355" t="s">
        <v>1475</v>
      </c>
      <c r="L355">
        <v>1</v>
      </c>
      <c r="M355" t="s">
        <v>15</v>
      </c>
      <c r="N355">
        <v>2</v>
      </c>
      <c r="O355" t="s">
        <v>13</v>
      </c>
      <c r="P355">
        <v>9</v>
      </c>
      <c r="Q355" s="4">
        <v>45683</v>
      </c>
      <c r="R355" s="4"/>
      <c r="S355" t="str">
        <f>TEXT(Table1[[#This Row],[Hiring Date]],"mmmm")</f>
        <v>January</v>
      </c>
      <c r="T355" s="1">
        <f>COUNTIF(S:S,Table1[[#This Row],[Months List]])</f>
        <v>0</v>
      </c>
      <c r="U355" t="str">
        <f>TEXT(Table1[[#This Row],[Hiring Date]],"dddd")</f>
        <v>Sunday</v>
      </c>
      <c r="V355" s="1" t="str">
        <f>TEXT(Table1[[#This Row],[Hiring Date]],"yyyy")</f>
        <v>2025</v>
      </c>
    </row>
    <row r="356" spans="1:22">
      <c r="A356" t="s">
        <v>1325</v>
      </c>
      <c r="B356">
        <v>28</v>
      </c>
      <c r="C356">
        <v>1217</v>
      </c>
      <c r="D356" t="s">
        <v>14</v>
      </c>
      <c r="E356" t="s">
        <v>1495</v>
      </c>
      <c r="F356" t="s">
        <v>1499</v>
      </c>
      <c r="G356">
        <v>67</v>
      </c>
      <c r="H356">
        <v>3</v>
      </c>
      <c r="I356">
        <v>1</v>
      </c>
      <c r="J356" t="s">
        <v>1476</v>
      </c>
      <c r="K356" t="s">
        <v>1477</v>
      </c>
      <c r="L356">
        <v>1</v>
      </c>
      <c r="M356" t="s">
        <v>15</v>
      </c>
      <c r="N356">
        <v>1</v>
      </c>
      <c r="O356" t="s">
        <v>13</v>
      </c>
      <c r="P356">
        <v>3</v>
      </c>
      <c r="Q356" s="4">
        <v>45772</v>
      </c>
      <c r="R356" s="4"/>
      <c r="S356" t="str">
        <f>TEXT(Table1[[#This Row],[Hiring Date]],"mmmm")</f>
        <v>April</v>
      </c>
      <c r="T356" s="1">
        <f>COUNTIF(S:S,Table1[[#This Row],[Months List]])</f>
        <v>0</v>
      </c>
      <c r="U356" t="str">
        <f>TEXT(Table1[[#This Row],[Hiring Date]],"dddd")</f>
        <v>Friday</v>
      </c>
      <c r="V356" s="1" t="str">
        <f>TEXT(Table1[[#This Row],[Hiring Date]],"yyyy")</f>
        <v>2025</v>
      </c>
    </row>
    <row r="357" spans="1:22">
      <c r="A357" t="s">
        <v>1326</v>
      </c>
      <c r="B357">
        <v>38</v>
      </c>
      <c r="C357">
        <v>723</v>
      </c>
      <c r="D357" t="s">
        <v>11</v>
      </c>
      <c r="E357" t="s">
        <v>1498</v>
      </c>
      <c r="F357" t="s">
        <v>1499</v>
      </c>
      <c r="G357">
        <v>77</v>
      </c>
      <c r="H357">
        <v>1</v>
      </c>
      <c r="I357">
        <v>2</v>
      </c>
      <c r="J357" t="s">
        <v>1489</v>
      </c>
      <c r="K357" t="s">
        <v>1490</v>
      </c>
      <c r="L357">
        <v>4</v>
      </c>
      <c r="M357" t="s">
        <v>15</v>
      </c>
      <c r="N357">
        <v>2</v>
      </c>
      <c r="O357" t="s">
        <v>10</v>
      </c>
      <c r="P357">
        <v>20</v>
      </c>
      <c r="Q357" s="4">
        <v>45914</v>
      </c>
      <c r="R357" s="4"/>
      <c r="S357" t="str">
        <f>TEXT(Table1[[#This Row],[Hiring Date]],"mmmm")</f>
        <v>September</v>
      </c>
      <c r="T357" s="1">
        <f>COUNTIF(S:S,Table1[[#This Row],[Months List]])</f>
        <v>0</v>
      </c>
      <c r="U357" t="str">
        <f>TEXT(Table1[[#This Row],[Hiring Date]],"dddd")</f>
        <v>Sunday</v>
      </c>
      <c r="V357" s="1" t="str">
        <f>TEXT(Table1[[#This Row],[Hiring Date]],"yyyy")</f>
        <v>2025</v>
      </c>
    </row>
    <row r="358" spans="1:22">
      <c r="A358" t="s">
        <v>139</v>
      </c>
      <c r="B358">
        <v>33</v>
      </c>
      <c r="C358">
        <v>750</v>
      </c>
      <c r="D358" t="s">
        <v>11</v>
      </c>
      <c r="E358" t="s">
        <v>1498</v>
      </c>
      <c r="F358" t="s">
        <v>1496</v>
      </c>
      <c r="G358">
        <v>95</v>
      </c>
      <c r="H358">
        <v>3</v>
      </c>
      <c r="I358">
        <v>2</v>
      </c>
      <c r="J358" t="s">
        <v>1474</v>
      </c>
      <c r="K358" t="s">
        <v>1475</v>
      </c>
      <c r="L358">
        <v>2</v>
      </c>
      <c r="M358" t="s">
        <v>15</v>
      </c>
      <c r="N358">
        <v>0</v>
      </c>
      <c r="O358" t="s">
        <v>13</v>
      </c>
      <c r="P358">
        <v>8</v>
      </c>
      <c r="Q358" s="4">
        <v>45754</v>
      </c>
      <c r="R358" s="4"/>
      <c r="S358" t="str">
        <f>TEXT(Table1[[#This Row],[Hiring Date]],"mmmm")</f>
        <v>April</v>
      </c>
      <c r="T358" s="1">
        <f>COUNTIF(S:S,Table1[[#This Row],[Months List]])</f>
        <v>0</v>
      </c>
      <c r="U358" t="str">
        <f>TEXT(Table1[[#This Row],[Hiring Date]],"dddd")</f>
        <v>Monday</v>
      </c>
      <c r="V358" s="1" t="str">
        <f>TEXT(Table1[[#This Row],[Hiring Date]],"yyyy")</f>
        <v>2025</v>
      </c>
    </row>
    <row r="359" spans="1:22">
      <c r="A359" t="s">
        <v>139</v>
      </c>
      <c r="B359">
        <v>33</v>
      </c>
      <c r="C359">
        <v>750</v>
      </c>
      <c r="D359" t="s">
        <v>11</v>
      </c>
      <c r="E359" t="s">
        <v>1498</v>
      </c>
      <c r="F359" t="s">
        <v>1496</v>
      </c>
      <c r="G359">
        <v>95</v>
      </c>
      <c r="H359">
        <v>3</v>
      </c>
      <c r="I359">
        <v>2</v>
      </c>
      <c r="J359" t="s">
        <v>1474</v>
      </c>
      <c r="K359" t="s">
        <v>1475</v>
      </c>
      <c r="L359">
        <v>2</v>
      </c>
      <c r="M359" t="s">
        <v>15</v>
      </c>
      <c r="N359">
        <v>0</v>
      </c>
      <c r="O359" t="s">
        <v>13</v>
      </c>
      <c r="P359">
        <v>8</v>
      </c>
      <c r="Q359" s="4">
        <v>45823</v>
      </c>
      <c r="R359" s="4"/>
      <c r="S359" t="str">
        <f>TEXT(Table1[[#This Row],[Hiring Date]],"mmmm")</f>
        <v>June</v>
      </c>
      <c r="T359" s="1">
        <f>COUNTIF(S:S,Table1[[#This Row],[Months List]])</f>
        <v>0</v>
      </c>
      <c r="U359" t="str">
        <f>TEXT(Table1[[#This Row],[Hiring Date]],"dddd")</f>
        <v>Sunday</v>
      </c>
      <c r="V359" s="1" t="str">
        <f>TEXT(Table1[[#This Row],[Hiring Date]],"yyyy")</f>
        <v>2025</v>
      </c>
    </row>
    <row r="360" spans="1:22">
      <c r="A360" t="s">
        <v>1327</v>
      </c>
      <c r="B360">
        <v>26</v>
      </c>
      <c r="C360">
        <v>572</v>
      </c>
      <c r="D360" t="s">
        <v>11</v>
      </c>
      <c r="E360" t="s">
        <v>1495</v>
      </c>
      <c r="F360" t="s">
        <v>1496</v>
      </c>
      <c r="G360">
        <v>46</v>
      </c>
      <c r="H360">
        <v>3</v>
      </c>
      <c r="I360">
        <v>2</v>
      </c>
      <c r="J360" t="s">
        <v>1474</v>
      </c>
      <c r="K360" t="s">
        <v>1475</v>
      </c>
      <c r="L360">
        <v>4</v>
      </c>
      <c r="M360" t="s">
        <v>12</v>
      </c>
      <c r="N360">
        <v>1</v>
      </c>
      <c r="O360" t="s">
        <v>13</v>
      </c>
      <c r="P360">
        <v>5</v>
      </c>
      <c r="Q360" s="4">
        <v>45839</v>
      </c>
      <c r="R360" s="4"/>
      <c r="S360" t="str">
        <f>TEXT(Table1[[#This Row],[Hiring Date]],"mmmm")</f>
        <v>July</v>
      </c>
      <c r="T360" s="1">
        <f>COUNTIF(S:S,Table1[[#This Row],[Months List]])</f>
        <v>0</v>
      </c>
      <c r="U360" t="str">
        <f>TEXT(Table1[[#This Row],[Hiring Date]],"dddd")</f>
        <v>Tuesday</v>
      </c>
      <c r="V360" s="1" t="str">
        <f>TEXT(Table1[[#This Row],[Hiring Date]],"yyyy")</f>
        <v>2025</v>
      </c>
    </row>
    <row r="361" spans="1:22">
      <c r="A361" t="s">
        <v>1328</v>
      </c>
      <c r="B361">
        <v>58</v>
      </c>
      <c r="C361">
        <v>1216</v>
      </c>
      <c r="D361" t="s">
        <v>14</v>
      </c>
      <c r="E361" t="s">
        <v>1497</v>
      </c>
      <c r="F361" t="s">
        <v>1496</v>
      </c>
      <c r="G361">
        <v>87</v>
      </c>
      <c r="H361">
        <v>3</v>
      </c>
      <c r="I361">
        <v>4</v>
      </c>
      <c r="J361" t="s">
        <v>1487</v>
      </c>
      <c r="K361" t="s">
        <v>1488</v>
      </c>
      <c r="L361">
        <v>3</v>
      </c>
      <c r="M361" t="s">
        <v>15</v>
      </c>
      <c r="N361">
        <v>2</v>
      </c>
      <c r="O361" t="s">
        <v>10</v>
      </c>
      <c r="P361">
        <v>23</v>
      </c>
      <c r="Q361" s="4">
        <v>45676</v>
      </c>
      <c r="R361" s="4"/>
      <c r="S361" t="str">
        <f>TEXT(Table1[[#This Row],[Hiring Date]],"mmmm")</f>
        <v>January</v>
      </c>
      <c r="T361" s="1">
        <f>COUNTIF(S:S,Table1[[#This Row],[Months List]])</f>
        <v>0</v>
      </c>
      <c r="U361" t="str">
        <f>TEXT(Table1[[#This Row],[Hiring Date]],"dddd")</f>
        <v>Sunday</v>
      </c>
      <c r="V361" s="1" t="str">
        <f>TEXT(Table1[[#This Row],[Hiring Date]],"yyyy")</f>
        <v>2025</v>
      </c>
    </row>
    <row r="362" spans="1:22">
      <c r="A362" t="s">
        <v>1329</v>
      </c>
      <c r="B362">
        <v>18</v>
      </c>
      <c r="C362">
        <v>1431</v>
      </c>
      <c r="D362" t="s">
        <v>14</v>
      </c>
      <c r="E362" t="s">
        <v>1495</v>
      </c>
      <c r="F362" t="s">
        <v>1499</v>
      </c>
      <c r="G362">
        <v>33</v>
      </c>
      <c r="H362">
        <v>3</v>
      </c>
      <c r="I362">
        <v>1</v>
      </c>
      <c r="J362" t="s">
        <v>1476</v>
      </c>
      <c r="K362" t="s">
        <v>1477</v>
      </c>
      <c r="L362">
        <v>3</v>
      </c>
      <c r="M362" t="s">
        <v>12</v>
      </c>
      <c r="N362">
        <v>1</v>
      </c>
      <c r="O362" t="s">
        <v>13</v>
      </c>
      <c r="P362">
        <v>0</v>
      </c>
      <c r="Q362" s="4">
        <v>45639</v>
      </c>
      <c r="R362" s="4"/>
      <c r="S362" t="str">
        <f>TEXT(Table1[[#This Row],[Hiring Date]],"mmmm")</f>
        <v>December</v>
      </c>
      <c r="T362" s="1">
        <f>COUNTIF(S:S,Table1[[#This Row],[Months List]])</f>
        <v>0</v>
      </c>
      <c r="U362" t="str">
        <f>TEXT(Table1[[#This Row],[Hiring Date]],"dddd")</f>
        <v>Friday</v>
      </c>
      <c r="V362" s="1" t="str">
        <f>TEXT(Table1[[#This Row],[Hiring Date]],"yyyy")</f>
        <v>2024</v>
      </c>
    </row>
    <row r="363" spans="1:22">
      <c r="A363" t="s">
        <v>1330</v>
      </c>
      <c r="B363">
        <v>31</v>
      </c>
      <c r="C363">
        <v>359</v>
      </c>
      <c r="D363" t="s">
        <v>17</v>
      </c>
      <c r="E363" t="s">
        <v>17</v>
      </c>
      <c r="F363" t="s">
        <v>1496</v>
      </c>
      <c r="G363">
        <v>89</v>
      </c>
      <c r="H363">
        <v>4</v>
      </c>
      <c r="I363">
        <v>1</v>
      </c>
      <c r="J363" t="s">
        <v>1486</v>
      </c>
      <c r="K363" t="s">
        <v>17</v>
      </c>
      <c r="L363">
        <v>1</v>
      </c>
      <c r="M363" t="s">
        <v>15</v>
      </c>
      <c r="N363">
        <v>0</v>
      </c>
      <c r="O363" t="s">
        <v>13</v>
      </c>
      <c r="P363">
        <v>2</v>
      </c>
      <c r="Q363" s="4">
        <v>45757</v>
      </c>
      <c r="R363" s="4"/>
      <c r="S363" t="str">
        <f>TEXT(Table1[[#This Row],[Hiring Date]],"mmmm")</f>
        <v>April</v>
      </c>
      <c r="T363" s="1">
        <f>COUNTIF(S:S,Table1[[#This Row],[Months List]])</f>
        <v>0</v>
      </c>
      <c r="U363" t="str">
        <f>TEXT(Table1[[#This Row],[Hiring Date]],"dddd")</f>
        <v>Thursday</v>
      </c>
      <c r="V363" s="1" t="str">
        <f>TEXT(Table1[[#This Row],[Hiring Date]],"yyyy")</f>
        <v>2025</v>
      </c>
    </row>
    <row r="364" spans="1:22">
      <c r="A364" t="s">
        <v>1331</v>
      </c>
      <c r="B364">
        <v>29</v>
      </c>
      <c r="C364">
        <v>350</v>
      </c>
      <c r="D364" t="s">
        <v>17</v>
      </c>
      <c r="E364" t="s">
        <v>17</v>
      </c>
      <c r="F364" t="s">
        <v>1496</v>
      </c>
      <c r="G364">
        <v>56</v>
      </c>
      <c r="H364">
        <v>2</v>
      </c>
      <c r="I364">
        <v>1</v>
      </c>
      <c r="J364" t="s">
        <v>1486</v>
      </c>
      <c r="K364" t="s">
        <v>17</v>
      </c>
      <c r="L364">
        <v>1</v>
      </c>
      <c r="M364" t="s">
        <v>16</v>
      </c>
      <c r="N364">
        <v>4</v>
      </c>
      <c r="O364" t="s">
        <v>10</v>
      </c>
      <c r="P364">
        <v>4</v>
      </c>
      <c r="Q364" s="4">
        <v>45879</v>
      </c>
      <c r="R364" s="4"/>
      <c r="S364" t="str">
        <f>TEXT(Table1[[#This Row],[Hiring Date]],"mmmm")</f>
        <v>August</v>
      </c>
      <c r="T364" s="1">
        <f>COUNTIF(S:S,Table1[[#This Row],[Months List]])</f>
        <v>0</v>
      </c>
      <c r="U364" t="str">
        <f>TEXT(Table1[[#This Row],[Hiring Date]],"dddd")</f>
        <v>Sunday</v>
      </c>
      <c r="V364" s="1" t="str">
        <f>TEXT(Table1[[#This Row],[Hiring Date]],"yyyy")</f>
        <v>2025</v>
      </c>
    </row>
    <row r="365" spans="1:22">
      <c r="A365" t="s">
        <v>1332</v>
      </c>
      <c r="B365">
        <v>45</v>
      </c>
      <c r="C365">
        <v>589</v>
      </c>
      <c r="D365" t="s">
        <v>11</v>
      </c>
      <c r="E365" t="s">
        <v>1497</v>
      </c>
      <c r="F365" t="s">
        <v>1499</v>
      </c>
      <c r="G365">
        <v>67</v>
      </c>
      <c r="H365">
        <v>3</v>
      </c>
      <c r="I365">
        <v>2</v>
      </c>
      <c r="J365" t="s">
        <v>1474</v>
      </c>
      <c r="K365" t="s">
        <v>1475</v>
      </c>
      <c r="L365">
        <v>3</v>
      </c>
      <c r="M365" t="s">
        <v>15</v>
      </c>
      <c r="N365">
        <v>4</v>
      </c>
      <c r="O365" t="s">
        <v>13</v>
      </c>
      <c r="P365">
        <v>10</v>
      </c>
      <c r="Q365" s="4">
        <v>45747</v>
      </c>
      <c r="R365" s="4"/>
      <c r="S365" t="str">
        <f>TEXT(Table1[[#This Row],[Hiring Date]],"mmmm")</f>
        <v>March</v>
      </c>
      <c r="T365" s="1">
        <f>COUNTIF(S:S,Table1[[#This Row],[Months List]])</f>
        <v>0</v>
      </c>
      <c r="U365" t="str">
        <f>TEXT(Table1[[#This Row],[Hiring Date]],"dddd")</f>
        <v>Monday</v>
      </c>
      <c r="V365" s="1" t="str">
        <f>TEXT(Table1[[#This Row],[Hiring Date]],"yyyy")</f>
        <v>2025</v>
      </c>
    </row>
    <row r="366" spans="1:22">
      <c r="A366" t="s">
        <v>1333</v>
      </c>
      <c r="B366">
        <v>36</v>
      </c>
      <c r="C366">
        <v>430</v>
      </c>
      <c r="D366" t="s">
        <v>14</v>
      </c>
      <c r="E366" t="s">
        <v>1500</v>
      </c>
      <c r="F366" t="s">
        <v>1499</v>
      </c>
      <c r="G366">
        <v>73</v>
      </c>
      <c r="H366">
        <v>3</v>
      </c>
      <c r="I366">
        <v>2</v>
      </c>
      <c r="J366" t="s">
        <v>1476</v>
      </c>
      <c r="K366" t="s">
        <v>1477</v>
      </c>
      <c r="L366">
        <v>2</v>
      </c>
      <c r="M366" t="s">
        <v>15</v>
      </c>
      <c r="N366">
        <v>4</v>
      </c>
      <c r="O366" t="s">
        <v>10</v>
      </c>
      <c r="P366">
        <v>15</v>
      </c>
      <c r="Q366" s="4">
        <v>45960</v>
      </c>
      <c r="R366" s="4"/>
      <c r="S366" t="str">
        <f>TEXT(Table1[[#This Row],[Hiring Date]],"mmmm")</f>
        <v>October</v>
      </c>
      <c r="T366" s="1">
        <f>COUNTIF(S:S,Table1[[#This Row],[Months List]])</f>
        <v>0</v>
      </c>
      <c r="U366" t="str">
        <f>TEXT(Table1[[#This Row],[Hiring Date]],"dddd")</f>
        <v>Thursday</v>
      </c>
      <c r="V366" s="1" t="str">
        <f>TEXT(Table1[[#This Row],[Hiring Date]],"yyyy")</f>
        <v>2025</v>
      </c>
    </row>
    <row r="367" spans="1:22">
      <c r="A367" t="s">
        <v>1334</v>
      </c>
      <c r="B367">
        <v>43</v>
      </c>
      <c r="C367">
        <v>1422</v>
      </c>
      <c r="D367" t="s">
        <v>11</v>
      </c>
      <c r="E367" t="s">
        <v>1497</v>
      </c>
      <c r="F367" t="s">
        <v>1496</v>
      </c>
      <c r="G367">
        <v>92</v>
      </c>
      <c r="H367">
        <v>3</v>
      </c>
      <c r="I367">
        <v>2</v>
      </c>
      <c r="J367" t="s">
        <v>1474</v>
      </c>
      <c r="K367" t="s">
        <v>1475</v>
      </c>
      <c r="L367">
        <v>4</v>
      </c>
      <c r="M367" t="s">
        <v>15</v>
      </c>
      <c r="N367">
        <v>1</v>
      </c>
      <c r="O367" t="s">
        <v>13</v>
      </c>
      <c r="P367">
        <v>7</v>
      </c>
      <c r="Q367" s="4">
        <v>45876</v>
      </c>
      <c r="R367" s="4"/>
      <c r="S367" t="str">
        <f>TEXT(Table1[[#This Row],[Hiring Date]],"mmmm")</f>
        <v>August</v>
      </c>
      <c r="T367" s="1">
        <f>COUNTIF(S:S,Table1[[#This Row],[Months List]])</f>
        <v>0</v>
      </c>
      <c r="U367" t="str">
        <f>TEXT(Table1[[#This Row],[Hiring Date]],"dddd")</f>
        <v>Thursday</v>
      </c>
      <c r="V367" s="1" t="str">
        <f>TEXT(Table1[[#This Row],[Hiring Date]],"yyyy")</f>
        <v>2025</v>
      </c>
    </row>
    <row r="368" spans="1:22">
      <c r="A368" t="s">
        <v>1335</v>
      </c>
      <c r="B368">
        <v>27</v>
      </c>
      <c r="C368">
        <v>1297</v>
      </c>
      <c r="D368" t="s">
        <v>14</v>
      </c>
      <c r="E368" t="s">
        <v>1497</v>
      </c>
      <c r="F368" t="s">
        <v>1499</v>
      </c>
      <c r="G368">
        <v>53</v>
      </c>
      <c r="H368">
        <v>3</v>
      </c>
      <c r="I368">
        <v>1</v>
      </c>
      <c r="J368" t="s">
        <v>1484</v>
      </c>
      <c r="K368" t="s">
        <v>1485</v>
      </c>
      <c r="L368">
        <v>4</v>
      </c>
      <c r="M368" t="s">
        <v>12</v>
      </c>
      <c r="N368">
        <v>0</v>
      </c>
      <c r="O368" t="s">
        <v>10</v>
      </c>
      <c r="P368">
        <v>6</v>
      </c>
      <c r="Q368" s="4">
        <v>45957</v>
      </c>
      <c r="R368" s="4"/>
      <c r="S368" t="str">
        <f>TEXT(Table1[[#This Row],[Hiring Date]],"mmmm")</f>
        <v>October</v>
      </c>
      <c r="T368" s="1">
        <f>COUNTIF(S:S,Table1[[#This Row],[Months List]])</f>
        <v>0</v>
      </c>
      <c r="U368" t="str">
        <f>TEXT(Table1[[#This Row],[Hiring Date]],"dddd")</f>
        <v>Monday</v>
      </c>
      <c r="V368" s="1" t="str">
        <f>TEXT(Table1[[#This Row],[Hiring Date]],"yyyy")</f>
        <v>2025</v>
      </c>
    </row>
    <row r="369" spans="1:22">
      <c r="A369" t="s">
        <v>1336</v>
      </c>
      <c r="B369">
        <v>29</v>
      </c>
      <c r="C369">
        <v>574</v>
      </c>
      <c r="D369" t="s">
        <v>14</v>
      </c>
      <c r="E369" t="s">
        <v>1495</v>
      </c>
      <c r="F369" t="s">
        <v>1496</v>
      </c>
      <c r="G369">
        <v>40</v>
      </c>
      <c r="H369">
        <v>3</v>
      </c>
      <c r="I369">
        <v>1</v>
      </c>
      <c r="J369" t="s">
        <v>1484</v>
      </c>
      <c r="K369" t="s">
        <v>1485</v>
      </c>
      <c r="L369">
        <v>4</v>
      </c>
      <c r="M369" t="s">
        <v>15</v>
      </c>
      <c r="N369">
        <v>1</v>
      </c>
      <c r="O369" t="s">
        <v>13</v>
      </c>
      <c r="P369">
        <v>11</v>
      </c>
      <c r="Q369" s="4">
        <v>45924</v>
      </c>
      <c r="R369" s="4"/>
      <c r="S369" t="str">
        <f>TEXT(Table1[[#This Row],[Hiring Date]],"mmmm")</f>
        <v>September</v>
      </c>
      <c r="T369" s="1">
        <f>COUNTIF(S:S,Table1[[#This Row],[Months List]])</f>
        <v>0</v>
      </c>
      <c r="U369" t="str">
        <f>TEXT(Table1[[#This Row],[Hiring Date]],"dddd")</f>
        <v>Wednesday</v>
      </c>
      <c r="V369" s="1" t="str">
        <f>TEXT(Table1[[#This Row],[Hiring Date]],"yyyy")</f>
        <v>2025</v>
      </c>
    </row>
    <row r="370" spans="1:22">
      <c r="A370" t="s">
        <v>140</v>
      </c>
      <c r="B370">
        <v>56</v>
      </c>
      <c r="C370">
        <v>441</v>
      </c>
      <c r="D370" t="s">
        <v>14</v>
      </c>
      <c r="E370" t="s">
        <v>1497</v>
      </c>
      <c r="F370" t="s">
        <v>1499</v>
      </c>
      <c r="G370">
        <v>72</v>
      </c>
      <c r="H370">
        <v>3</v>
      </c>
      <c r="I370">
        <v>1</v>
      </c>
      <c r="J370" t="s">
        <v>1476</v>
      </c>
      <c r="K370" t="s">
        <v>1477</v>
      </c>
      <c r="L370">
        <v>2</v>
      </c>
      <c r="M370" t="s">
        <v>15</v>
      </c>
      <c r="N370">
        <v>9</v>
      </c>
      <c r="O370" t="s">
        <v>10</v>
      </c>
      <c r="P370">
        <v>7</v>
      </c>
      <c r="Q370" s="4">
        <v>45684</v>
      </c>
      <c r="R370" s="4"/>
      <c r="S370" t="str">
        <f>TEXT(Table1[[#This Row],[Hiring Date]],"mmmm")</f>
        <v>January</v>
      </c>
      <c r="T370" s="1">
        <f>COUNTIF(S:S,Table1[[#This Row],[Months List]])</f>
        <v>0</v>
      </c>
      <c r="U370" t="str">
        <f>TEXT(Table1[[#This Row],[Hiring Date]],"dddd")</f>
        <v>Monday</v>
      </c>
      <c r="V370" s="1" t="str">
        <f>TEXT(Table1[[#This Row],[Hiring Date]],"yyyy")</f>
        <v>2025</v>
      </c>
    </row>
    <row r="371" spans="1:22">
      <c r="A371" t="s">
        <v>140</v>
      </c>
      <c r="B371">
        <v>56</v>
      </c>
      <c r="C371">
        <v>441</v>
      </c>
      <c r="D371" t="s">
        <v>14</v>
      </c>
      <c r="E371" t="s">
        <v>1497</v>
      </c>
      <c r="F371" t="s">
        <v>1499</v>
      </c>
      <c r="G371">
        <v>72</v>
      </c>
      <c r="H371">
        <v>3</v>
      </c>
      <c r="I371">
        <v>1</v>
      </c>
      <c r="J371" t="s">
        <v>1476</v>
      </c>
      <c r="K371" t="s">
        <v>1477</v>
      </c>
      <c r="L371">
        <v>2</v>
      </c>
      <c r="M371" t="s">
        <v>15</v>
      </c>
      <c r="N371">
        <v>9</v>
      </c>
      <c r="O371" t="s">
        <v>10</v>
      </c>
      <c r="P371">
        <v>7</v>
      </c>
      <c r="Q371" s="4">
        <v>45702</v>
      </c>
      <c r="R371" s="4"/>
      <c r="S371" t="str">
        <f>TEXT(Table1[[#This Row],[Hiring Date]],"mmmm")</f>
        <v>February</v>
      </c>
      <c r="T371" s="1">
        <f>COUNTIF(S:S,Table1[[#This Row],[Months List]])</f>
        <v>0</v>
      </c>
      <c r="U371" t="str">
        <f>TEXT(Table1[[#This Row],[Hiring Date]],"dddd")</f>
        <v>Friday</v>
      </c>
      <c r="V371" s="1" t="str">
        <f>TEXT(Table1[[#This Row],[Hiring Date]],"yyyy")</f>
        <v>2025</v>
      </c>
    </row>
    <row r="372" spans="1:22">
      <c r="A372" t="s">
        <v>1337</v>
      </c>
      <c r="B372">
        <v>32</v>
      </c>
      <c r="C372">
        <v>1318</v>
      </c>
      <c r="D372" t="s">
        <v>11</v>
      </c>
      <c r="E372" t="s">
        <v>1498</v>
      </c>
      <c r="F372" t="s">
        <v>1496</v>
      </c>
      <c r="G372">
        <v>79</v>
      </c>
      <c r="H372">
        <v>3</v>
      </c>
      <c r="I372">
        <v>2</v>
      </c>
      <c r="J372" t="s">
        <v>1474</v>
      </c>
      <c r="K372" t="s">
        <v>1475</v>
      </c>
      <c r="L372">
        <v>4</v>
      </c>
      <c r="M372" t="s">
        <v>12</v>
      </c>
      <c r="N372">
        <v>8</v>
      </c>
      <c r="O372" t="s">
        <v>13</v>
      </c>
      <c r="P372">
        <v>4</v>
      </c>
      <c r="Q372" s="4">
        <v>45901</v>
      </c>
      <c r="R372" s="4"/>
      <c r="S372" t="str">
        <f>TEXT(Table1[[#This Row],[Hiring Date]],"mmmm")</f>
        <v>September</v>
      </c>
      <c r="T372" s="1">
        <f>COUNTIF(S:S,Table1[[#This Row],[Months List]])</f>
        <v>0</v>
      </c>
      <c r="U372" t="str">
        <f>TEXT(Table1[[#This Row],[Hiring Date]],"dddd")</f>
        <v>Monday</v>
      </c>
      <c r="V372" s="1" t="str">
        <f>TEXT(Table1[[#This Row],[Hiring Date]],"yyyy")</f>
        <v>2025</v>
      </c>
    </row>
    <row r="373" spans="1:22">
      <c r="A373" t="s">
        <v>1338</v>
      </c>
      <c r="B373">
        <v>42</v>
      </c>
      <c r="C373">
        <v>355</v>
      </c>
      <c r="D373" t="s">
        <v>14</v>
      </c>
      <c r="E373" t="s">
        <v>1501</v>
      </c>
      <c r="F373" t="s">
        <v>1496</v>
      </c>
      <c r="G373">
        <v>38</v>
      </c>
      <c r="H373">
        <v>3</v>
      </c>
      <c r="I373">
        <v>1</v>
      </c>
      <c r="J373" t="s">
        <v>1476</v>
      </c>
      <c r="K373" t="s">
        <v>1477</v>
      </c>
      <c r="L373">
        <v>3</v>
      </c>
      <c r="M373" t="s">
        <v>15</v>
      </c>
      <c r="N373">
        <v>3</v>
      </c>
      <c r="O373" t="s">
        <v>13</v>
      </c>
      <c r="P373">
        <v>10</v>
      </c>
      <c r="Q373" s="4">
        <v>45748</v>
      </c>
      <c r="R373" s="4"/>
      <c r="S373" t="str">
        <f>TEXT(Table1[[#This Row],[Hiring Date]],"mmmm")</f>
        <v>April</v>
      </c>
      <c r="T373" s="1">
        <f>COUNTIF(S:S,Table1[[#This Row],[Months List]])</f>
        <v>0</v>
      </c>
      <c r="U373" t="str">
        <f>TEXT(Table1[[#This Row],[Hiring Date]],"dddd")</f>
        <v>Tuesday</v>
      </c>
      <c r="V373" s="1" t="str">
        <f>TEXT(Table1[[#This Row],[Hiring Date]],"yyyy")</f>
        <v>2025</v>
      </c>
    </row>
    <row r="374" spans="1:22">
      <c r="A374" t="s">
        <v>1339</v>
      </c>
      <c r="B374">
        <v>47</v>
      </c>
      <c r="C374">
        <v>207</v>
      </c>
      <c r="D374" t="s">
        <v>14</v>
      </c>
      <c r="E374" t="s">
        <v>1497</v>
      </c>
      <c r="F374" t="s">
        <v>1499</v>
      </c>
      <c r="G374">
        <v>64</v>
      </c>
      <c r="H374">
        <v>3</v>
      </c>
      <c r="I374">
        <v>1</v>
      </c>
      <c r="J374" t="s">
        <v>1484</v>
      </c>
      <c r="K374" t="s">
        <v>1485</v>
      </c>
      <c r="L374">
        <v>3</v>
      </c>
      <c r="M374" t="s">
        <v>12</v>
      </c>
      <c r="N374">
        <v>4</v>
      </c>
      <c r="O374" t="s">
        <v>13</v>
      </c>
      <c r="P374">
        <v>7</v>
      </c>
      <c r="Q374" s="4">
        <v>45691</v>
      </c>
      <c r="R374" s="4"/>
      <c r="S374" t="str">
        <f>TEXT(Table1[[#This Row],[Hiring Date]],"mmmm")</f>
        <v>February</v>
      </c>
      <c r="T374" s="1">
        <f>COUNTIF(S:S,Table1[[#This Row],[Months List]])</f>
        <v>0</v>
      </c>
      <c r="U374" t="str">
        <f>TEXT(Table1[[#This Row],[Hiring Date]],"dddd")</f>
        <v>Monday</v>
      </c>
      <c r="V374" s="1" t="str">
        <f>TEXT(Table1[[#This Row],[Hiring Date]],"yyyy")</f>
        <v>2025</v>
      </c>
    </row>
    <row r="375" spans="1:22">
      <c r="A375" t="s">
        <v>1340</v>
      </c>
      <c r="B375">
        <v>46</v>
      </c>
      <c r="C375">
        <v>706</v>
      </c>
      <c r="D375" t="s">
        <v>14</v>
      </c>
      <c r="E375" t="s">
        <v>1497</v>
      </c>
      <c r="F375" t="s">
        <v>1496</v>
      </c>
      <c r="G375">
        <v>82</v>
      </c>
      <c r="H375">
        <v>3</v>
      </c>
      <c r="I375">
        <v>3</v>
      </c>
      <c r="J375" t="s">
        <v>1480</v>
      </c>
      <c r="K375" t="s">
        <v>1481</v>
      </c>
      <c r="L375">
        <v>4</v>
      </c>
      <c r="M375" t="s">
        <v>16</v>
      </c>
      <c r="N375">
        <v>3</v>
      </c>
      <c r="O375" t="s">
        <v>13</v>
      </c>
      <c r="P375">
        <v>12</v>
      </c>
      <c r="Q375" s="4">
        <v>45936</v>
      </c>
      <c r="R375" s="4"/>
      <c r="S375" t="str">
        <f>TEXT(Table1[[#This Row],[Hiring Date]],"mmmm")</f>
        <v>October</v>
      </c>
      <c r="T375" s="1">
        <f>COUNTIF(S:S,Table1[[#This Row],[Months List]])</f>
        <v>0</v>
      </c>
      <c r="U375" t="str">
        <f>TEXT(Table1[[#This Row],[Hiring Date]],"dddd")</f>
        <v>Monday</v>
      </c>
      <c r="V375" s="1" t="str">
        <f>TEXT(Table1[[#This Row],[Hiring Date]],"yyyy")</f>
        <v>2025</v>
      </c>
    </row>
    <row r="376" spans="1:22">
      <c r="A376" t="s">
        <v>1341</v>
      </c>
      <c r="B376">
        <v>28</v>
      </c>
      <c r="C376">
        <v>280</v>
      </c>
      <c r="D376" t="s">
        <v>17</v>
      </c>
      <c r="E376" t="s">
        <v>1497</v>
      </c>
      <c r="F376" t="s">
        <v>1496</v>
      </c>
      <c r="G376">
        <v>43</v>
      </c>
      <c r="H376">
        <v>3</v>
      </c>
      <c r="I376">
        <v>1</v>
      </c>
      <c r="J376" t="s">
        <v>1486</v>
      </c>
      <c r="K376" t="s">
        <v>17</v>
      </c>
      <c r="L376">
        <v>4</v>
      </c>
      <c r="M376" t="s">
        <v>16</v>
      </c>
      <c r="N376">
        <v>1</v>
      </c>
      <c r="O376" t="s">
        <v>13</v>
      </c>
      <c r="P376">
        <v>3</v>
      </c>
      <c r="Q376" s="4">
        <v>45761</v>
      </c>
      <c r="R376" s="4"/>
      <c r="S376" t="str">
        <f>TEXT(Table1[[#This Row],[Hiring Date]],"mmmm")</f>
        <v>April</v>
      </c>
      <c r="T376" s="1">
        <f>COUNTIF(S:S,Table1[[#This Row],[Months List]])</f>
        <v>0</v>
      </c>
      <c r="U376" t="str">
        <f>TEXT(Table1[[#This Row],[Hiring Date]],"dddd")</f>
        <v>Monday</v>
      </c>
      <c r="V376" s="1" t="str">
        <f>TEXT(Table1[[#This Row],[Hiring Date]],"yyyy")</f>
        <v>2025</v>
      </c>
    </row>
    <row r="377" spans="1:22">
      <c r="A377" t="s">
        <v>1342</v>
      </c>
      <c r="B377">
        <v>29</v>
      </c>
      <c r="C377">
        <v>726</v>
      </c>
      <c r="D377" t="s">
        <v>14</v>
      </c>
      <c r="E377" t="s">
        <v>1497</v>
      </c>
      <c r="F377" t="s">
        <v>1496</v>
      </c>
      <c r="G377">
        <v>93</v>
      </c>
      <c r="H377">
        <v>1</v>
      </c>
      <c r="I377">
        <v>2</v>
      </c>
      <c r="J377" t="s">
        <v>1478</v>
      </c>
      <c r="K377" t="s">
        <v>1479</v>
      </c>
      <c r="L377">
        <v>3</v>
      </c>
      <c r="M377" t="s">
        <v>16</v>
      </c>
      <c r="N377">
        <v>8</v>
      </c>
      <c r="O377" t="s">
        <v>13</v>
      </c>
      <c r="P377">
        <v>11</v>
      </c>
      <c r="Q377" s="4">
        <v>45819</v>
      </c>
      <c r="R377" s="4"/>
      <c r="S377" t="str">
        <f>TEXT(Table1[[#This Row],[Hiring Date]],"mmmm")</f>
        <v>June</v>
      </c>
      <c r="T377" s="1">
        <f>COUNTIF(S:S,Table1[[#This Row],[Months List]])</f>
        <v>0</v>
      </c>
      <c r="U377" t="str">
        <f>TEXT(Table1[[#This Row],[Hiring Date]],"dddd")</f>
        <v>Wednesday</v>
      </c>
      <c r="V377" s="1" t="str">
        <f>TEXT(Table1[[#This Row],[Hiring Date]],"yyyy")</f>
        <v>2025</v>
      </c>
    </row>
    <row r="378" spans="1:22">
      <c r="A378" t="s">
        <v>1343</v>
      </c>
      <c r="B378">
        <v>42</v>
      </c>
      <c r="C378">
        <v>1142</v>
      </c>
      <c r="D378" t="s">
        <v>14</v>
      </c>
      <c r="E378" t="s">
        <v>1497</v>
      </c>
      <c r="F378" t="s">
        <v>1496</v>
      </c>
      <c r="G378">
        <v>81</v>
      </c>
      <c r="H378">
        <v>3</v>
      </c>
      <c r="I378">
        <v>1</v>
      </c>
      <c r="J378" t="s">
        <v>1484</v>
      </c>
      <c r="K378" t="s">
        <v>1485</v>
      </c>
      <c r="L378">
        <v>3</v>
      </c>
      <c r="M378" t="s">
        <v>12</v>
      </c>
      <c r="N378">
        <v>4</v>
      </c>
      <c r="O378" t="s">
        <v>13</v>
      </c>
      <c r="P378">
        <v>8</v>
      </c>
      <c r="Q378" s="4">
        <v>45844</v>
      </c>
      <c r="R378" s="4"/>
      <c r="S378" t="str">
        <f>TEXT(Table1[[#This Row],[Hiring Date]],"mmmm")</f>
        <v>July</v>
      </c>
      <c r="T378" s="1">
        <f>COUNTIF(S:S,Table1[[#This Row],[Months List]])</f>
        <v>0</v>
      </c>
      <c r="U378" t="str">
        <f>TEXT(Table1[[#This Row],[Hiring Date]],"dddd")</f>
        <v>Sunday</v>
      </c>
      <c r="V378" s="1" t="str">
        <f>TEXT(Table1[[#This Row],[Hiring Date]],"yyyy")</f>
        <v>2025</v>
      </c>
    </row>
    <row r="379" spans="1:22">
      <c r="A379" t="s">
        <v>1344</v>
      </c>
      <c r="B379">
        <v>32</v>
      </c>
      <c r="C379">
        <v>414</v>
      </c>
      <c r="D379" t="s">
        <v>11</v>
      </c>
      <c r="E379" t="s">
        <v>1498</v>
      </c>
      <c r="F379" t="s">
        <v>1496</v>
      </c>
      <c r="G379">
        <v>82</v>
      </c>
      <c r="H379">
        <v>2</v>
      </c>
      <c r="I379">
        <v>2</v>
      </c>
      <c r="J379" t="s">
        <v>1474</v>
      </c>
      <c r="K379" t="s">
        <v>1475</v>
      </c>
      <c r="L379">
        <v>2</v>
      </c>
      <c r="M379" t="s">
        <v>12</v>
      </c>
      <c r="N379">
        <v>7</v>
      </c>
      <c r="O379" t="s">
        <v>10</v>
      </c>
      <c r="P379">
        <v>7</v>
      </c>
      <c r="Q379" s="4">
        <v>45938</v>
      </c>
      <c r="R379" s="4"/>
      <c r="S379" t="str">
        <f>TEXT(Table1[[#This Row],[Hiring Date]],"mmmm")</f>
        <v>October</v>
      </c>
      <c r="T379" s="1">
        <f>COUNTIF(S:S,Table1[[#This Row],[Months List]])</f>
        <v>0</v>
      </c>
      <c r="U379" t="str">
        <f>TEXT(Table1[[#This Row],[Hiring Date]],"dddd")</f>
        <v>Wednesday</v>
      </c>
      <c r="V379" s="1" t="str">
        <f>TEXT(Table1[[#This Row],[Hiring Date]],"yyyy")</f>
        <v>2025</v>
      </c>
    </row>
    <row r="380" spans="1:22">
      <c r="A380" t="s">
        <v>1345</v>
      </c>
      <c r="B380">
        <v>46</v>
      </c>
      <c r="C380">
        <v>1319</v>
      </c>
      <c r="D380" t="s">
        <v>11</v>
      </c>
      <c r="E380" t="s">
        <v>1501</v>
      </c>
      <c r="F380" t="s">
        <v>1499</v>
      </c>
      <c r="G380">
        <v>45</v>
      </c>
      <c r="H380">
        <v>4</v>
      </c>
      <c r="I380">
        <v>4</v>
      </c>
      <c r="J380" t="s">
        <v>1474</v>
      </c>
      <c r="K380" t="s">
        <v>1475</v>
      </c>
      <c r="L380">
        <v>1</v>
      </c>
      <c r="M380" t="s">
        <v>16</v>
      </c>
      <c r="N380">
        <v>2</v>
      </c>
      <c r="O380" t="s">
        <v>13</v>
      </c>
      <c r="P380">
        <v>25</v>
      </c>
      <c r="Q380" s="4">
        <v>45690</v>
      </c>
      <c r="R380" s="4"/>
      <c r="S380" t="str">
        <f>TEXT(Table1[[#This Row],[Hiring Date]],"mmmm")</f>
        <v>February</v>
      </c>
      <c r="T380" s="1">
        <f>COUNTIF(S:S,Table1[[#This Row],[Months List]])</f>
        <v>0</v>
      </c>
      <c r="U380" t="str">
        <f>TEXT(Table1[[#This Row],[Hiring Date]],"dddd")</f>
        <v>Sunday</v>
      </c>
      <c r="V380" s="1" t="str">
        <f>TEXT(Table1[[#This Row],[Hiring Date]],"yyyy")</f>
        <v>2025</v>
      </c>
    </row>
    <row r="381" spans="1:22">
      <c r="A381" t="s">
        <v>1346</v>
      </c>
      <c r="B381">
        <v>27</v>
      </c>
      <c r="C381">
        <v>728</v>
      </c>
      <c r="D381" t="s">
        <v>11</v>
      </c>
      <c r="E381" t="s">
        <v>1495</v>
      </c>
      <c r="F381" t="s">
        <v>1499</v>
      </c>
      <c r="G381">
        <v>36</v>
      </c>
      <c r="H381">
        <v>2</v>
      </c>
      <c r="I381">
        <v>2</v>
      </c>
      <c r="J381" t="s">
        <v>1489</v>
      </c>
      <c r="K381" t="s">
        <v>1490</v>
      </c>
      <c r="L381">
        <v>3</v>
      </c>
      <c r="M381" t="s">
        <v>15</v>
      </c>
      <c r="N381">
        <v>1</v>
      </c>
      <c r="O381" t="s">
        <v>13</v>
      </c>
      <c r="P381">
        <v>9</v>
      </c>
      <c r="Q381" s="4">
        <v>45692</v>
      </c>
      <c r="R381" s="4"/>
      <c r="S381" t="str">
        <f>TEXT(Table1[[#This Row],[Hiring Date]],"mmmm")</f>
        <v>February</v>
      </c>
      <c r="T381" s="1">
        <f>COUNTIF(S:S,Table1[[#This Row],[Months List]])</f>
        <v>0</v>
      </c>
      <c r="U381" t="str">
        <f>TEXT(Table1[[#This Row],[Hiring Date]],"dddd")</f>
        <v>Tuesday</v>
      </c>
      <c r="V381" s="1" t="str">
        <f>TEXT(Table1[[#This Row],[Hiring Date]],"yyyy")</f>
        <v>2025</v>
      </c>
    </row>
    <row r="382" spans="1:22">
      <c r="A382" t="s">
        <v>141</v>
      </c>
      <c r="B382">
        <v>51</v>
      </c>
      <c r="C382">
        <v>684</v>
      </c>
      <c r="D382" t="s">
        <v>14</v>
      </c>
      <c r="E382" t="s">
        <v>1497</v>
      </c>
      <c r="F382" t="s">
        <v>1496</v>
      </c>
      <c r="G382">
        <v>51</v>
      </c>
      <c r="H382">
        <v>3</v>
      </c>
      <c r="I382">
        <v>5</v>
      </c>
      <c r="J382" t="s">
        <v>1487</v>
      </c>
      <c r="K382" t="s">
        <v>1488</v>
      </c>
      <c r="L382">
        <v>3</v>
      </c>
      <c r="M382" t="s">
        <v>12</v>
      </c>
      <c r="N382">
        <v>7</v>
      </c>
      <c r="O382" t="s">
        <v>13</v>
      </c>
      <c r="P382">
        <v>23</v>
      </c>
      <c r="Q382" s="4">
        <v>45877</v>
      </c>
      <c r="R382" s="4"/>
      <c r="S382" t="str">
        <f>TEXT(Table1[[#This Row],[Hiring Date]],"mmmm")</f>
        <v>August</v>
      </c>
      <c r="T382" s="1">
        <f>COUNTIF(S:S,Table1[[#This Row],[Months List]])</f>
        <v>0</v>
      </c>
      <c r="U382" t="str">
        <f>TEXT(Table1[[#This Row],[Hiring Date]],"dddd")</f>
        <v>Friday</v>
      </c>
      <c r="V382" s="1" t="str">
        <f>TEXT(Table1[[#This Row],[Hiring Date]],"yyyy")</f>
        <v>2025</v>
      </c>
    </row>
    <row r="383" spans="1:22">
      <c r="A383" t="s">
        <v>141</v>
      </c>
      <c r="B383">
        <v>51</v>
      </c>
      <c r="C383">
        <v>684</v>
      </c>
      <c r="D383" t="s">
        <v>14</v>
      </c>
      <c r="E383" t="s">
        <v>1497</v>
      </c>
      <c r="F383" t="s">
        <v>1496</v>
      </c>
      <c r="G383">
        <v>51</v>
      </c>
      <c r="H383">
        <v>3</v>
      </c>
      <c r="I383">
        <v>5</v>
      </c>
      <c r="J383" t="s">
        <v>1487</v>
      </c>
      <c r="K383" t="s">
        <v>1488</v>
      </c>
      <c r="L383">
        <v>3</v>
      </c>
      <c r="M383" t="s">
        <v>12</v>
      </c>
      <c r="N383">
        <v>7</v>
      </c>
      <c r="O383" t="s">
        <v>13</v>
      </c>
      <c r="P383">
        <v>23</v>
      </c>
      <c r="Q383" s="4">
        <v>45831</v>
      </c>
      <c r="R383" s="4"/>
      <c r="S383" t="str">
        <f>TEXT(Table1[[#This Row],[Hiring Date]],"mmmm")</f>
        <v>June</v>
      </c>
      <c r="T383" s="1">
        <f>COUNTIF(S:S,Table1[[#This Row],[Months List]])</f>
        <v>0</v>
      </c>
      <c r="U383" t="str">
        <f>TEXT(Table1[[#This Row],[Hiring Date]],"dddd")</f>
        <v>Monday</v>
      </c>
      <c r="V383" s="1" t="str">
        <f>TEXT(Table1[[#This Row],[Hiring Date]],"yyyy")</f>
        <v>2025</v>
      </c>
    </row>
    <row r="384" spans="1:22">
      <c r="A384" t="s">
        <v>1347</v>
      </c>
      <c r="B384">
        <v>29</v>
      </c>
      <c r="C384">
        <v>352</v>
      </c>
      <c r="D384" t="s">
        <v>17</v>
      </c>
      <c r="E384" t="s">
        <v>1495</v>
      </c>
      <c r="F384" t="s">
        <v>1496</v>
      </c>
      <c r="G384">
        <v>87</v>
      </c>
      <c r="H384">
        <v>2</v>
      </c>
      <c r="I384">
        <v>1</v>
      </c>
      <c r="J384" t="s">
        <v>1486</v>
      </c>
      <c r="K384" t="s">
        <v>17</v>
      </c>
      <c r="L384">
        <v>2</v>
      </c>
      <c r="M384" t="s">
        <v>15</v>
      </c>
      <c r="N384">
        <v>1</v>
      </c>
      <c r="O384" t="s">
        <v>13</v>
      </c>
      <c r="P384">
        <v>1</v>
      </c>
      <c r="Q384" s="4">
        <v>45796</v>
      </c>
      <c r="R384" s="4"/>
      <c r="S384" t="str">
        <f>TEXT(Table1[[#This Row],[Hiring Date]],"mmmm")</f>
        <v>May</v>
      </c>
      <c r="T384" s="1">
        <f>COUNTIF(S:S,Table1[[#This Row],[Months List]])</f>
        <v>0</v>
      </c>
      <c r="U384" t="str">
        <f>TEXT(Table1[[#This Row],[Hiring Date]],"dddd")</f>
        <v>Monday</v>
      </c>
      <c r="V384" s="1" t="str">
        <f>TEXT(Table1[[#This Row],[Hiring Date]],"yyyy")</f>
        <v>2025</v>
      </c>
    </row>
    <row r="385" spans="1:22">
      <c r="A385" t="s">
        <v>1348</v>
      </c>
      <c r="B385">
        <v>43</v>
      </c>
      <c r="C385">
        <v>823</v>
      </c>
      <c r="D385" t="s">
        <v>14</v>
      </c>
      <c r="E385" t="s">
        <v>1495</v>
      </c>
      <c r="F385" t="s">
        <v>1499</v>
      </c>
      <c r="G385">
        <v>81</v>
      </c>
      <c r="H385">
        <v>2</v>
      </c>
      <c r="I385">
        <v>5</v>
      </c>
      <c r="J385" t="s">
        <v>1482</v>
      </c>
      <c r="K385" t="s">
        <v>1483</v>
      </c>
      <c r="L385">
        <v>3</v>
      </c>
      <c r="M385" t="s">
        <v>15</v>
      </c>
      <c r="N385">
        <v>7</v>
      </c>
      <c r="O385" t="s">
        <v>13</v>
      </c>
      <c r="P385">
        <v>21</v>
      </c>
      <c r="Q385" s="4">
        <v>45846</v>
      </c>
      <c r="R385" s="4"/>
      <c r="S385" t="str">
        <f>TEXT(Table1[[#This Row],[Hiring Date]],"mmmm")</f>
        <v>July</v>
      </c>
      <c r="T385" s="1">
        <f>COUNTIF(S:S,Table1[[#This Row],[Months List]])</f>
        <v>0</v>
      </c>
      <c r="U385" t="str">
        <f>TEXT(Table1[[#This Row],[Hiring Date]],"dddd")</f>
        <v>Tuesday</v>
      </c>
      <c r="V385" s="1" t="str">
        <f>TEXT(Table1[[#This Row],[Hiring Date]],"yyyy")</f>
        <v>2025</v>
      </c>
    </row>
    <row r="386" spans="1:22">
      <c r="A386" t="s">
        <v>1349</v>
      </c>
      <c r="B386">
        <v>48</v>
      </c>
      <c r="C386">
        <v>1224</v>
      </c>
      <c r="D386" t="s">
        <v>14</v>
      </c>
      <c r="E386" t="s">
        <v>1497</v>
      </c>
      <c r="F386" t="s">
        <v>1496</v>
      </c>
      <c r="G386">
        <v>91</v>
      </c>
      <c r="H386">
        <v>2</v>
      </c>
      <c r="I386">
        <v>5</v>
      </c>
      <c r="J386" t="s">
        <v>1487</v>
      </c>
      <c r="K386" t="s">
        <v>1488</v>
      </c>
      <c r="L386">
        <v>2</v>
      </c>
      <c r="M386" t="s">
        <v>15</v>
      </c>
      <c r="N386">
        <v>4</v>
      </c>
      <c r="O386" t="s">
        <v>13</v>
      </c>
      <c r="P386">
        <v>29</v>
      </c>
      <c r="Q386" s="4">
        <v>45664</v>
      </c>
      <c r="R386" s="4"/>
      <c r="S386" t="str">
        <f>TEXT(Table1[[#This Row],[Hiring Date]],"mmmm")</f>
        <v>January</v>
      </c>
      <c r="T386" s="1">
        <f>COUNTIF(S:S,Table1[[#This Row],[Months List]])</f>
        <v>0</v>
      </c>
      <c r="U386" t="str">
        <f>TEXT(Table1[[#This Row],[Hiring Date]],"dddd")</f>
        <v>Tuesday</v>
      </c>
      <c r="V386" s="1" t="str">
        <f>TEXT(Table1[[#This Row],[Hiring Date]],"yyyy")</f>
        <v>2025</v>
      </c>
    </row>
    <row r="387" spans="1:22">
      <c r="A387" t="s">
        <v>1350</v>
      </c>
      <c r="B387">
        <v>29</v>
      </c>
      <c r="C387">
        <v>459</v>
      </c>
      <c r="D387" t="s">
        <v>14</v>
      </c>
      <c r="E387" t="s">
        <v>1497</v>
      </c>
      <c r="F387" t="s">
        <v>1496</v>
      </c>
      <c r="G387">
        <v>73</v>
      </c>
      <c r="H387">
        <v>2</v>
      </c>
      <c r="I387">
        <v>1</v>
      </c>
      <c r="J387" t="s">
        <v>1476</v>
      </c>
      <c r="K387" t="s">
        <v>1477</v>
      </c>
      <c r="L387">
        <v>4</v>
      </c>
      <c r="M387" t="s">
        <v>12</v>
      </c>
      <c r="N387">
        <v>1</v>
      </c>
      <c r="O387" t="s">
        <v>10</v>
      </c>
      <c r="P387">
        <v>1</v>
      </c>
      <c r="Q387" s="4">
        <v>45638</v>
      </c>
      <c r="R387" s="4"/>
      <c r="S387" t="str">
        <f>TEXT(Table1[[#This Row],[Hiring Date]],"mmmm")</f>
        <v>December</v>
      </c>
      <c r="T387" s="1">
        <f>COUNTIF(S:S,Table1[[#This Row],[Months List]])</f>
        <v>0</v>
      </c>
      <c r="U387" t="str">
        <f>TEXT(Table1[[#This Row],[Hiring Date]],"dddd")</f>
        <v>Thursday</v>
      </c>
      <c r="V387" s="1" t="str">
        <f>TEXT(Table1[[#This Row],[Hiring Date]],"yyyy")</f>
        <v>2024</v>
      </c>
    </row>
    <row r="388" spans="1:22">
      <c r="A388" t="s">
        <v>1351</v>
      </c>
      <c r="B388">
        <v>46</v>
      </c>
      <c r="C388">
        <v>1254</v>
      </c>
      <c r="D388" t="s">
        <v>11</v>
      </c>
      <c r="E388" t="s">
        <v>1497</v>
      </c>
      <c r="F388" t="s">
        <v>1499</v>
      </c>
      <c r="G388">
        <v>64</v>
      </c>
      <c r="H388">
        <v>3</v>
      </c>
      <c r="I388">
        <v>3</v>
      </c>
      <c r="J388" t="s">
        <v>1474</v>
      </c>
      <c r="K388" t="s">
        <v>1475</v>
      </c>
      <c r="L388">
        <v>2</v>
      </c>
      <c r="M388" t="s">
        <v>15</v>
      </c>
      <c r="N388">
        <v>5</v>
      </c>
      <c r="O388" t="s">
        <v>13</v>
      </c>
      <c r="P388">
        <v>14</v>
      </c>
      <c r="Q388" s="4">
        <v>45867</v>
      </c>
      <c r="R388" s="4"/>
      <c r="S388" t="str">
        <f>TEXT(Table1[[#This Row],[Hiring Date]],"mmmm")</f>
        <v>July</v>
      </c>
      <c r="T388" s="1">
        <f>COUNTIF(S:S,Table1[[#This Row],[Months List]])</f>
        <v>0</v>
      </c>
      <c r="U388" t="str">
        <f>TEXT(Table1[[#This Row],[Hiring Date]],"dddd")</f>
        <v>Tuesday</v>
      </c>
      <c r="V388" s="1" t="str">
        <f>TEXT(Table1[[#This Row],[Hiring Date]],"yyyy")</f>
        <v>2025</v>
      </c>
    </row>
    <row r="389" spans="1:22">
      <c r="A389" t="s">
        <v>1352</v>
      </c>
      <c r="B389">
        <v>27</v>
      </c>
      <c r="C389">
        <v>1131</v>
      </c>
      <c r="D389" t="s">
        <v>14</v>
      </c>
      <c r="E389" t="s">
        <v>1497</v>
      </c>
      <c r="F389" t="s">
        <v>1499</v>
      </c>
      <c r="G389">
        <v>77</v>
      </c>
      <c r="H389">
        <v>2</v>
      </c>
      <c r="I389">
        <v>1</v>
      </c>
      <c r="J389" t="s">
        <v>1476</v>
      </c>
      <c r="K389" t="s">
        <v>1477</v>
      </c>
      <c r="L389">
        <v>1</v>
      </c>
      <c r="M389" t="s">
        <v>15</v>
      </c>
      <c r="N389">
        <v>0</v>
      </c>
      <c r="O389" t="s">
        <v>13</v>
      </c>
      <c r="P389">
        <v>8</v>
      </c>
      <c r="Q389" s="4">
        <v>45956</v>
      </c>
      <c r="R389" s="4"/>
      <c r="S389" t="str">
        <f>TEXT(Table1[[#This Row],[Hiring Date]],"mmmm")</f>
        <v>October</v>
      </c>
      <c r="T389" s="1">
        <f>COUNTIF(S:S,Table1[[#This Row],[Months List]])</f>
        <v>0</v>
      </c>
      <c r="U389" t="str">
        <f>TEXT(Table1[[#This Row],[Hiring Date]],"dddd")</f>
        <v>Sunday</v>
      </c>
      <c r="V389" s="1" t="str">
        <f>TEXT(Table1[[#This Row],[Hiring Date]],"yyyy")</f>
        <v>2025</v>
      </c>
    </row>
    <row r="390" spans="1:22">
      <c r="A390" t="s">
        <v>1353</v>
      </c>
      <c r="B390">
        <v>39</v>
      </c>
      <c r="C390">
        <v>835</v>
      </c>
      <c r="D390" t="s">
        <v>14</v>
      </c>
      <c r="E390" t="s">
        <v>1500</v>
      </c>
      <c r="F390" t="s">
        <v>1496</v>
      </c>
      <c r="G390">
        <v>41</v>
      </c>
      <c r="H390">
        <v>3</v>
      </c>
      <c r="I390">
        <v>2</v>
      </c>
      <c r="J390" t="s">
        <v>1476</v>
      </c>
      <c r="K390" t="s">
        <v>1477</v>
      </c>
      <c r="L390">
        <v>4</v>
      </c>
      <c r="M390" t="s">
        <v>16</v>
      </c>
      <c r="N390">
        <v>8</v>
      </c>
      <c r="O390" t="s">
        <v>13</v>
      </c>
      <c r="P390">
        <v>7</v>
      </c>
      <c r="Q390" s="4">
        <v>45672</v>
      </c>
      <c r="R390" s="4"/>
      <c r="S390" t="str">
        <f>TEXT(Table1[[#This Row],[Hiring Date]],"mmmm")</f>
        <v>January</v>
      </c>
      <c r="T390" s="1">
        <f>COUNTIF(S:S,Table1[[#This Row],[Months List]])</f>
        <v>0</v>
      </c>
      <c r="U390" t="str">
        <f>TEXT(Table1[[#This Row],[Hiring Date]],"dddd")</f>
        <v>Wednesday</v>
      </c>
      <c r="V390" s="1" t="str">
        <f>TEXT(Table1[[#This Row],[Hiring Date]],"yyyy")</f>
        <v>2025</v>
      </c>
    </row>
    <row r="391" spans="1:22">
      <c r="A391" t="s">
        <v>1354</v>
      </c>
      <c r="B391">
        <v>55</v>
      </c>
      <c r="C391">
        <v>836</v>
      </c>
      <c r="D391" t="s">
        <v>14</v>
      </c>
      <c r="E391" t="s">
        <v>1501</v>
      </c>
      <c r="F391" t="s">
        <v>1496</v>
      </c>
      <c r="G391">
        <v>98</v>
      </c>
      <c r="H391">
        <v>2</v>
      </c>
      <c r="I391">
        <v>1</v>
      </c>
      <c r="J391" t="s">
        <v>1476</v>
      </c>
      <c r="K391" t="s">
        <v>1477</v>
      </c>
      <c r="L391">
        <v>4</v>
      </c>
      <c r="M391" t="s">
        <v>15</v>
      </c>
      <c r="N391">
        <v>8</v>
      </c>
      <c r="O391" t="s">
        <v>13</v>
      </c>
      <c r="P391">
        <v>19</v>
      </c>
      <c r="Q391" s="4">
        <v>45845</v>
      </c>
      <c r="R391" s="4"/>
      <c r="S391" t="str">
        <f>TEXT(Table1[[#This Row],[Hiring Date]],"mmmm")</f>
        <v>July</v>
      </c>
      <c r="T391" s="1">
        <f>COUNTIF(S:S,Table1[[#This Row],[Months List]])</f>
        <v>0</v>
      </c>
      <c r="U391" t="str">
        <f>TEXT(Table1[[#This Row],[Hiring Date]],"dddd")</f>
        <v>Monday</v>
      </c>
      <c r="V391" s="1" t="str">
        <f>TEXT(Table1[[#This Row],[Hiring Date]],"yyyy")</f>
        <v>2025</v>
      </c>
    </row>
    <row r="392" spans="1:22">
      <c r="A392" t="s">
        <v>1355</v>
      </c>
      <c r="B392">
        <v>28</v>
      </c>
      <c r="C392">
        <v>1172</v>
      </c>
      <c r="D392" t="s">
        <v>11</v>
      </c>
      <c r="E392" t="s">
        <v>1495</v>
      </c>
      <c r="F392" t="s">
        <v>1499</v>
      </c>
      <c r="G392">
        <v>78</v>
      </c>
      <c r="H392">
        <v>3</v>
      </c>
      <c r="I392">
        <v>1</v>
      </c>
      <c r="J392" t="s">
        <v>1489</v>
      </c>
      <c r="K392" t="s">
        <v>1490</v>
      </c>
      <c r="L392">
        <v>2</v>
      </c>
      <c r="M392" t="s">
        <v>15</v>
      </c>
      <c r="N392">
        <v>1</v>
      </c>
      <c r="O392" t="s">
        <v>13</v>
      </c>
      <c r="P392">
        <v>1</v>
      </c>
      <c r="Q392" s="4">
        <v>45710</v>
      </c>
      <c r="R392" s="4"/>
      <c r="S392" t="str">
        <f>TEXT(Table1[[#This Row],[Hiring Date]],"mmmm")</f>
        <v>February</v>
      </c>
      <c r="T392" s="1">
        <f>COUNTIF(S:S,Table1[[#This Row],[Months List]])</f>
        <v>0</v>
      </c>
      <c r="U392" t="str">
        <f>TEXT(Table1[[#This Row],[Hiring Date]],"dddd")</f>
        <v>Saturday</v>
      </c>
      <c r="V392" s="1" t="str">
        <f>TEXT(Table1[[#This Row],[Hiring Date]],"yyyy")</f>
        <v>2025</v>
      </c>
    </row>
    <row r="393" spans="1:22">
      <c r="A393" t="s">
        <v>1356</v>
      </c>
      <c r="B393">
        <v>30</v>
      </c>
      <c r="C393">
        <v>945</v>
      </c>
      <c r="D393" t="s">
        <v>11</v>
      </c>
      <c r="E393" t="s">
        <v>1495</v>
      </c>
      <c r="F393" t="s">
        <v>1496</v>
      </c>
      <c r="G393">
        <v>89</v>
      </c>
      <c r="H393">
        <v>3</v>
      </c>
      <c r="I393">
        <v>1</v>
      </c>
      <c r="J393" t="s">
        <v>1489</v>
      </c>
      <c r="K393" t="s">
        <v>1490</v>
      </c>
      <c r="L393">
        <v>4</v>
      </c>
      <c r="M393" t="s">
        <v>12</v>
      </c>
      <c r="N393">
        <v>1</v>
      </c>
      <c r="O393" t="s">
        <v>13</v>
      </c>
      <c r="P393">
        <v>1</v>
      </c>
      <c r="Q393" s="4">
        <v>45690</v>
      </c>
      <c r="R393" s="4"/>
      <c r="S393" t="str">
        <f>TEXT(Table1[[#This Row],[Hiring Date]],"mmmm")</f>
        <v>February</v>
      </c>
      <c r="T393" s="1">
        <f>COUNTIF(S:S,Table1[[#This Row],[Months List]])</f>
        <v>0</v>
      </c>
      <c r="U393" t="str">
        <f>TEXT(Table1[[#This Row],[Hiring Date]],"dddd")</f>
        <v>Sunday</v>
      </c>
      <c r="V393" s="1" t="str">
        <f>TEXT(Table1[[#This Row],[Hiring Date]],"yyyy")</f>
        <v>2025</v>
      </c>
    </row>
    <row r="394" spans="1:22">
      <c r="A394" t="s">
        <v>142</v>
      </c>
      <c r="B394">
        <v>31</v>
      </c>
      <c r="C394">
        <v>249</v>
      </c>
      <c r="D394" t="s">
        <v>11</v>
      </c>
      <c r="E394" t="s">
        <v>1497</v>
      </c>
      <c r="F394" t="s">
        <v>1496</v>
      </c>
      <c r="G394">
        <v>76</v>
      </c>
      <c r="H394">
        <v>1</v>
      </c>
      <c r="I394">
        <v>2</v>
      </c>
      <c r="J394" t="s">
        <v>1474</v>
      </c>
      <c r="K394" t="s">
        <v>1475</v>
      </c>
      <c r="L394">
        <v>3</v>
      </c>
      <c r="M394" t="s">
        <v>15</v>
      </c>
      <c r="N394">
        <v>4</v>
      </c>
      <c r="O394" t="s">
        <v>10</v>
      </c>
      <c r="P394">
        <v>12</v>
      </c>
      <c r="Q394" s="4">
        <v>45636</v>
      </c>
      <c r="R394" s="4"/>
      <c r="S394" t="str">
        <f>TEXT(Table1[[#This Row],[Hiring Date]],"mmmm")</f>
        <v>December</v>
      </c>
      <c r="T394" s="1">
        <f>COUNTIF(S:S,Table1[[#This Row],[Months List]])</f>
        <v>0</v>
      </c>
      <c r="U394" t="str">
        <f>TEXT(Table1[[#This Row],[Hiring Date]],"dddd")</f>
        <v>Tuesday</v>
      </c>
      <c r="V394" s="1" t="str">
        <f>TEXT(Table1[[#This Row],[Hiring Date]],"yyyy")</f>
        <v>2024</v>
      </c>
    </row>
    <row r="395" spans="1:22">
      <c r="A395" t="s">
        <v>142</v>
      </c>
      <c r="B395">
        <v>31</v>
      </c>
      <c r="C395">
        <v>249</v>
      </c>
      <c r="D395" t="s">
        <v>11</v>
      </c>
      <c r="E395" t="s">
        <v>1497</v>
      </c>
      <c r="F395" t="s">
        <v>1496</v>
      </c>
      <c r="G395">
        <v>76</v>
      </c>
      <c r="H395">
        <v>1</v>
      </c>
      <c r="I395">
        <v>2</v>
      </c>
      <c r="J395" t="s">
        <v>1474</v>
      </c>
      <c r="K395" t="s">
        <v>1475</v>
      </c>
      <c r="L395">
        <v>3</v>
      </c>
      <c r="M395" t="s">
        <v>15</v>
      </c>
      <c r="N395">
        <v>4</v>
      </c>
      <c r="O395" t="s">
        <v>10</v>
      </c>
      <c r="P395">
        <v>12</v>
      </c>
      <c r="Q395" s="4">
        <v>45802</v>
      </c>
      <c r="R395" s="4"/>
      <c r="S395" t="str">
        <f>TEXT(Table1[[#This Row],[Hiring Date]],"mmmm")</f>
        <v>May</v>
      </c>
      <c r="T395" s="1">
        <f>COUNTIF(S:S,Table1[[#This Row],[Months List]])</f>
        <v>0</v>
      </c>
      <c r="U395" t="str">
        <f>TEXT(Table1[[#This Row],[Hiring Date]],"dddd")</f>
        <v>Sunday</v>
      </c>
      <c r="V395" s="1" t="str">
        <f>TEXT(Table1[[#This Row],[Hiring Date]],"yyyy")</f>
        <v>2025</v>
      </c>
    </row>
    <row r="396" spans="1:22">
      <c r="A396" t="s">
        <v>1357</v>
      </c>
      <c r="B396">
        <v>22</v>
      </c>
      <c r="C396">
        <v>391</v>
      </c>
      <c r="D396" t="s">
        <v>14</v>
      </c>
      <c r="E396" t="s">
        <v>1497</v>
      </c>
      <c r="F396" t="s">
        <v>1496</v>
      </c>
      <c r="G396">
        <v>75</v>
      </c>
      <c r="H396">
        <v>3</v>
      </c>
      <c r="I396">
        <v>1</v>
      </c>
      <c r="J396" t="s">
        <v>1476</v>
      </c>
      <c r="K396" t="s">
        <v>1477</v>
      </c>
      <c r="L396">
        <v>2</v>
      </c>
      <c r="M396" t="s">
        <v>12</v>
      </c>
      <c r="N396">
        <v>1</v>
      </c>
      <c r="O396" t="s">
        <v>10</v>
      </c>
      <c r="P396">
        <v>1</v>
      </c>
      <c r="Q396" s="4">
        <v>45850</v>
      </c>
      <c r="R396" s="4"/>
      <c r="S396" t="str">
        <f>TEXT(Table1[[#This Row],[Hiring Date]],"mmmm")</f>
        <v>July</v>
      </c>
      <c r="T396" s="1">
        <f>COUNTIF(S:S,Table1[[#This Row],[Months List]])</f>
        <v>0</v>
      </c>
      <c r="U396" t="str">
        <f>TEXT(Table1[[#This Row],[Hiring Date]],"dddd")</f>
        <v>Saturday</v>
      </c>
      <c r="V396" s="1" t="str">
        <f>TEXT(Table1[[#This Row],[Hiring Date]],"yyyy")</f>
        <v>2025</v>
      </c>
    </row>
    <row r="397" spans="1:22">
      <c r="A397" t="s">
        <v>1358</v>
      </c>
      <c r="B397">
        <v>36</v>
      </c>
      <c r="C397">
        <v>1266</v>
      </c>
      <c r="D397" t="s">
        <v>11</v>
      </c>
      <c r="E397" t="s">
        <v>1501</v>
      </c>
      <c r="F397" t="s">
        <v>1499</v>
      </c>
      <c r="G397">
        <v>63</v>
      </c>
      <c r="H397">
        <v>2</v>
      </c>
      <c r="I397">
        <v>2</v>
      </c>
      <c r="J397" t="s">
        <v>1474</v>
      </c>
      <c r="K397" t="s">
        <v>1475</v>
      </c>
      <c r="L397">
        <v>3</v>
      </c>
      <c r="M397" t="s">
        <v>15</v>
      </c>
      <c r="N397">
        <v>1</v>
      </c>
      <c r="O397" t="s">
        <v>10</v>
      </c>
      <c r="P397">
        <v>10</v>
      </c>
      <c r="Q397" s="4">
        <v>45993</v>
      </c>
      <c r="R397" s="4"/>
      <c r="S397" t="str">
        <f>TEXT(Table1[[#This Row],[Hiring Date]],"mmmm")</f>
        <v>December</v>
      </c>
      <c r="T397" s="1">
        <f>COUNTIF(S:S,Table1[[#This Row],[Months List]])</f>
        <v>0</v>
      </c>
      <c r="U397" t="str">
        <f>TEXT(Table1[[#This Row],[Hiring Date]],"dddd")</f>
        <v>Tuesday</v>
      </c>
      <c r="V397" s="1" t="str">
        <f>TEXT(Table1[[#This Row],[Hiring Date]],"yyyy")</f>
        <v>2025</v>
      </c>
    </row>
    <row r="398" spans="1:22">
      <c r="A398" t="s">
        <v>1359</v>
      </c>
      <c r="B398">
        <v>31</v>
      </c>
      <c r="C398">
        <v>311</v>
      </c>
      <c r="D398" t="s">
        <v>14</v>
      </c>
      <c r="E398" t="s">
        <v>1497</v>
      </c>
      <c r="F398" t="s">
        <v>1496</v>
      </c>
      <c r="G398">
        <v>89</v>
      </c>
      <c r="H398">
        <v>3</v>
      </c>
      <c r="I398">
        <v>2</v>
      </c>
      <c r="J398" t="s">
        <v>1484</v>
      </c>
      <c r="K398" t="s">
        <v>1485</v>
      </c>
      <c r="L398">
        <v>3</v>
      </c>
      <c r="M398" t="s">
        <v>16</v>
      </c>
      <c r="N398">
        <v>1</v>
      </c>
      <c r="O398" t="s">
        <v>13</v>
      </c>
      <c r="P398">
        <v>10</v>
      </c>
      <c r="Q398" s="4">
        <v>45843</v>
      </c>
      <c r="R398" s="4"/>
      <c r="S398" t="str">
        <f>TEXT(Table1[[#This Row],[Hiring Date]],"mmmm")</f>
        <v>July</v>
      </c>
      <c r="T398" s="1">
        <f>COUNTIF(S:S,Table1[[#This Row],[Months List]])</f>
        <v>0</v>
      </c>
      <c r="U398" t="str">
        <f>TEXT(Table1[[#This Row],[Hiring Date]],"dddd")</f>
        <v>Saturday</v>
      </c>
      <c r="V398" s="1" t="str">
        <f>TEXT(Table1[[#This Row],[Hiring Date]],"yyyy")</f>
        <v>2025</v>
      </c>
    </row>
    <row r="399" spans="1:22">
      <c r="A399" t="s">
        <v>1360</v>
      </c>
      <c r="B399">
        <v>34</v>
      </c>
      <c r="C399">
        <v>1480</v>
      </c>
      <c r="D399" t="s">
        <v>11</v>
      </c>
      <c r="E399" t="s">
        <v>1497</v>
      </c>
      <c r="F399" t="s">
        <v>1496</v>
      </c>
      <c r="G399">
        <v>64</v>
      </c>
      <c r="H399">
        <v>3</v>
      </c>
      <c r="I399">
        <v>3</v>
      </c>
      <c r="J399" t="s">
        <v>1474</v>
      </c>
      <c r="K399" t="s">
        <v>1475</v>
      </c>
      <c r="L399">
        <v>4</v>
      </c>
      <c r="M399" t="s">
        <v>15</v>
      </c>
      <c r="N399">
        <v>2</v>
      </c>
      <c r="O399" t="s">
        <v>10</v>
      </c>
      <c r="P399">
        <v>9</v>
      </c>
      <c r="Q399" s="4">
        <v>45734</v>
      </c>
      <c r="R399" s="4"/>
      <c r="S399" t="str">
        <f>TEXT(Table1[[#This Row],[Hiring Date]],"mmmm")</f>
        <v>March</v>
      </c>
      <c r="T399" s="1">
        <f>COUNTIF(S:S,Table1[[#This Row],[Months List]])</f>
        <v>0</v>
      </c>
      <c r="U399" t="str">
        <f>TEXT(Table1[[#This Row],[Hiring Date]],"dddd")</f>
        <v>Tuesday</v>
      </c>
      <c r="V399" s="1" t="str">
        <f>TEXT(Table1[[#This Row],[Hiring Date]],"yyyy")</f>
        <v>2025</v>
      </c>
    </row>
    <row r="400" spans="1:22">
      <c r="A400" t="s">
        <v>1361</v>
      </c>
      <c r="B400">
        <v>29</v>
      </c>
      <c r="C400">
        <v>592</v>
      </c>
      <c r="D400" t="s">
        <v>14</v>
      </c>
      <c r="E400" t="s">
        <v>1497</v>
      </c>
      <c r="F400" t="s">
        <v>1496</v>
      </c>
      <c r="G400">
        <v>59</v>
      </c>
      <c r="H400">
        <v>3</v>
      </c>
      <c r="I400">
        <v>1</v>
      </c>
      <c r="J400" t="s">
        <v>1484</v>
      </c>
      <c r="K400" t="s">
        <v>1485</v>
      </c>
      <c r="L400">
        <v>1</v>
      </c>
      <c r="M400" t="s">
        <v>12</v>
      </c>
      <c r="N400">
        <v>3</v>
      </c>
      <c r="O400" t="s">
        <v>13</v>
      </c>
      <c r="P400">
        <v>11</v>
      </c>
      <c r="Q400" s="4">
        <v>45654</v>
      </c>
      <c r="R400" s="4"/>
      <c r="S400" t="str">
        <f>TEXT(Table1[[#This Row],[Hiring Date]],"mmmm")</f>
        <v>December</v>
      </c>
      <c r="T400" s="1">
        <f>COUNTIF(S:S,Table1[[#This Row],[Months List]])</f>
        <v>0</v>
      </c>
      <c r="U400" t="str">
        <f>TEXT(Table1[[#This Row],[Hiring Date]],"dddd")</f>
        <v>Saturday</v>
      </c>
      <c r="V400" s="1" t="str">
        <f>TEXT(Table1[[#This Row],[Hiring Date]],"yyyy")</f>
        <v>2024</v>
      </c>
    </row>
    <row r="401" spans="1:22">
      <c r="A401" t="s">
        <v>1362</v>
      </c>
      <c r="B401">
        <v>37</v>
      </c>
      <c r="C401">
        <v>783</v>
      </c>
      <c r="D401" t="s">
        <v>14</v>
      </c>
      <c r="E401" t="s">
        <v>1495</v>
      </c>
      <c r="F401" t="s">
        <v>1496</v>
      </c>
      <c r="G401">
        <v>78</v>
      </c>
      <c r="H401">
        <v>3</v>
      </c>
      <c r="I401">
        <v>2</v>
      </c>
      <c r="J401" t="s">
        <v>1476</v>
      </c>
      <c r="K401" t="s">
        <v>1477</v>
      </c>
      <c r="L401">
        <v>1</v>
      </c>
      <c r="M401" t="s">
        <v>15</v>
      </c>
      <c r="N401">
        <v>5</v>
      </c>
      <c r="O401" t="s">
        <v>10</v>
      </c>
      <c r="P401">
        <v>16</v>
      </c>
      <c r="Q401" s="4">
        <v>45993</v>
      </c>
      <c r="R401" s="4"/>
      <c r="S401" t="str">
        <f>TEXT(Table1[[#This Row],[Hiring Date]],"mmmm")</f>
        <v>December</v>
      </c>
      <c r="T401" s="1">
        <f>COUNTIF(S:S,Table1[[#This Row],[Months List]])</f>
        <v>0</v>
      </c>
      <c r="U401" t="str">
        <f>TEXT(Table1[[#This Row],[Hiring Date]],"dddd")</f>
        <v>Tuesday</v>
      </c>
      <c r="V401" s="1" t="str">
        <f>TEXT(Table1[[#This Row],[Hiring Date]],"yyyy")</f>
        <v>2025</v>
      </c>
    </row>
    <row r="402" spans="1:22">
      <c r="A402" t="s">
        <v>1363</v>
      </c>
      <c r="B402">
        <v>35</v>
      </c>
      <c r="C402">
        <v>219</v>
      </c>
      <c r="D402" t="s">
        <v>14</v>
      </c>
      <c r="E402" t="s">
        <v>1500</v>
      </c>
      <c r="F402" t="s">
        <v>1499</v>
      </c>
      <c r="G402">
        <v>44</v>
      </c>
      <c r="H402">
        <v>2</v>
      </c>
      <c r="I402">
        <v>2</v>
      </c>
      <c r="J402" t="s">
        <v>1480</v>
      </c>
      <c r="K402" t="s">
        <v>1481</v>
      </c>
      <c r="L402">
        <v>2</v>
      </c>
      <c r="M402" t="s">
        <v>15</v>
      </c>
      <c r="N402">
        <v>0</v>
      </c>
      <c r="O402" t="s">
        <v>10</v>
      </c>
      <c r="P402">
        <v>4</v>
      </c>
      <c r="Q402" s="4">
        <v>45719</v>
      </c>
      <c r="R402" s="4"/>
      <c r="S402" t="str">
        <f>TEXT(Table1[[#This Row],[Hiring Date]],"mmmm")</f>
        <v>March</v>
      </c>
      <c r="T402" s="1">
        <f>COUNTIF(S:S,Table1[[#This Row],[Months List]])</f>
        <v>0</v>
      </c>
      <c r="U402" t="str">
        <f>TEXT(Table1[[#This Row],[Hiring Date]],"dddd")</f>
        <v>Monday</v>
      </c>
      <c r="V402" s="1" t="str">
        <f>TEXT(Table1[[#This Row],[Hiring Date]],"yyyy")</f>
        <v>2025</v>
      </c>
    </row>
    <row r="403" spans="1:22">
      <c r="A403" t="s">
        <v>1364</v>
      </c>
      <c r="B403">
        <v>45</v>
      </c>
      <c r="C403">
        <v>556</v>
      </c>
      <c r="D403" t="s">
        <v>14</v>
      </c>
      <c r="E403" t="s">
        <v>1497</v>
      </c>
      <c r="F403" t="s">
        <v>1499</v>
      </c>
      <c r="G403">
        <v>93</v>
      </c>
      <c r="H403">
        <v>2</v>
      </c>
      <c r="I403">
        <v>2</v>
      </c>
      <c r="J403" t="s">
        <v>1480</v>
      </c>
      <c r="K403" t="s">
        <v>1481</v>
      </c>
      <c r="L403">
        <v>4</v>
      </c>
      <c r="M403" t="s">
        <v>15</v>
      </c>
      <c r="N403">
        <v>0</v>
      </c>
      <c r="O403" t="s">
        <v>13</v>
      </c>
      <c r="P403">
        <v>10</v>
      </c>
      <c r="Q403" s="4">
        <v>45889</v>
      </c>
      <c r="R403" s="4"/>
      <c r="S403" t="str">
        <f>TEXT(Table1[[#This Row],[Hiring Date]],"mmmm")</f>
        <v>August</v>
      </c>
      <c r="T403" s="1">
        <f>COUNTIF(S:S,Table1[[#This Row],[Months List]])</f>
        <v>0</v>
      </c>
      <c r="U403" t="str">
        <f>TEXT(Table1[[#This Row],[Hiring Date]],"dddd")</f>
        <v>Wednesday</v>
      </c>
      <c r="V403" s="1" t="str">
        <f>TEXT(Table1[[#This Row],[Hiring Date]],"yyyy")</f>
        <v>2025</v>
      </c>
    </row>
    <row r="404" spans="1:22">
      <c r="A404" t="s">
        <v>1365</v>
      </c>
      <c r="B404">
        <v>36</v>
      </c>
      <c r="C404">
        <v>1213</v>
      </c>
      <c r="D404" t="s">
        <v>17</v>
      </c>
      <c r="E404" t="s">
        <v>17</v>
      </c>
      <c r="F404" t="s">
        <v>1496</v>
      </c>
      <c r="G404">
        <v>94</v>
      </c>
      <c r="H404">
        <v>2</v>
      </c>
      <c r="I404">
        <v>2</v>
      </c>
      <c r="J404" t="s">
        <v>1486</v>
      </c>
      <c r="K404" t="s">
        <v>17</v>
      </c>
      <c r="L404">
        <v>4</v>
      </c>
      <c r="M404" t="s">
        <v>12</v>
      </c>
      <c r="N404">
        <v>1</v>
      </c>
      <c r="O404" t="s">
        <v>13</v>
      </c>
      <c r="P404">
        <v>10</v>
      </c>
      <c r="Q404" s="4">
        <v>45757</v>
      </c>
      <c r="R404" s="4"/>
      <c r="S404" t="str">
        <f>TEXT(Table1[[#This Row],[Hiring Date]],"mmmm")</f>
        <v>April</v>
      </c>
      <c r="T404" s="1">
        <f>COUNTIF(S:S,Table1[[#This Row],[Months List]])</f>
        <v>0</v>
      </c>
      <c r="U404" t="str">
        <f>TEXT(Table1[[#This Row],[Hiring Date]],"dddd")</f>
        <v>Thursday</v>
      </c>
      <c r="V404" s="1" t="str">
        <f>TEXT(Table1[[#This Row],[Hiring Date]],"yyyy")</f>
        <v>2025</v>
      </c>
    </row>
    <row r="405" spans="1:22">
      <c r="A405" t="s">
        <v>1366</v>
      </c>
      <c r="B405">
        <v>40</v>
      </c>
      <c r="C405">
        <v>1137</v>
      </c>
      <c r="D405" t="s">
        <v>14</v>
      </c>
      <c r="E405" t="s">
        <v>1497</v>
      </c>
      <c r="F405" t="s">
        <v>1496</v>
      </c>
      <c r="G405">
        <v>98</v>
      </c>
      <c r="H405">
        <v>3</v>
      </c>
      <c r="I405">
        <v>4</v>
      </c>
      <c r="J405" t="s">
        <v>1482</v>
      </c>
      <c r="K405" t="s">
        <v>1483</v>
      </c>
      <c r="L405">
        <v>1</v>
      </c>
      <c r="M405" t="s">
        <v>16</v>
      </c>
      <c r="N405">
        <v>2</v>
      </c>
      <c r="O405" t="s">
        <v>13</v>
      </c>
      <c r="P405">
        <v>22</v>
      </c>
      <c r="Q405" s="4">
        <v>45726</v>
      </c>
      <c r="R405" s="4"/>
      <c r="S405" t="str">
        <f>TEXT(Table1[[#This Row],[Hiring Date]],"mmmm")</f>
        <v>March</v>
      </c>
      <c r="T405" s="1">
        <f>COUNTIF(S:S,Table1[[#This Row],[Months List]])</f>
        <v>0</v>
      </c>
      <c r="U405" t="str">
        <f>TEXT(Table1[[#This Row],[Hiring Date]],"dddd")</f>
        <v>Monday</v>
      </c>
      <c r="V405" s="1" t="str">
        <f>TEXT(Table1[[#This Row],[Hiring Date]],"yyyy")</f>
        <v>2025</v>
      </c>
    </row>
    <row r="406" spans="1:22">
      <c r="A406" t="s">
        <v>143</v>
      </c>
      <c r="B406">
        <v>26</v>
      </c>
      <c r="C406">
        <v>841</v>
      </c>
      <c r="D406" t="s">
        <v>14</v>
      </c>
      <c r="E406" t="s">
        <v>1500</v>
      </c>
      <c r="F406" t="s">
        <v>1499</v>
      </c>
      <c r="G406">
        <v>46</v>
      </c>
      <c r="H406">
        <v>2</v>
      </c>
      <c r="I406">
        <v>1</v>
      </c>
      <c r="J406" t="s">
        <v>1476</v>
      </c>
      <c r="K406" t="s">
        <v>1477</v>
      </c>
      <c r="L406">
        <v>2</v>
      </c>
      <c r="M406" t="s">
        <v>15</v>
      </c>
      <c r="N406">
        <v>1</v>
      </c>
      <c r="O406" t="s">
        <v>13</v>
      </c>
      <c r="P406">
        <v>5</v>
      </c>
      <c r="Q406" s="4">
        <v>45741</v>
      </c>
      <c r="R406" s="4"/>
      <c r="S406" t="str">
        <f>TEXT(Table1[[#This Row],[Hiring Date]],"mmmm")</f>
        <v>March</v>
      </c>
      <c r="T406" s="1">
        <f>COUNTIF(S:S,Table1[[#This Row],[Months List]])</f>
        <v>0</v>
      </c>
      <c r="U406" t="str">
        <f>TEXT(Table1[[#This Row],[Hiring Date]],"dddd")</f>
        <v>Tuesday</v>
      </c>
      <c r="V406" s="1" t="str">
        <f>TEXT(Table1[[#This Row],[Hiring Date]],"yyyy")</f>
        <v>2025</v>
      </c>
    </row>
    <row r="407" spans="1:22">
      <c r="A407" t="s">
        <v>143</v>
      </c>
      <c r="B407">
        <v>26</v>
      </c>
      <c r="C407">
        <v>841</v>
      </c>
      <c r="D407" t="s">
        <v>14</v>
      </c>
      <c r="E407" t="s">
        <v>1500</v>
      </c>
      <c r="F407" t="s">
        <v>1499</v>
      </c>
      <c r="G407">
        <v>46</v>
      </c>
      <c r="H407">
        <v>2</v>
      </c>
      <c r="I407">
        <v>1</v>
      </c>
      <c r="J407" t="s">
        <v>1476</v>
      </c>
      <c r="K407" t="s">
        <v>1477</v>
      </c>
      <c r="L407">
        <v>2</v>
      </c>
      <c r="M407" t="s">
        <v>15</v>
      </c>
      <c r="N407">
        <v>1</v>
      </c>
      <c r="O407" t="s">
        <v>13</v>
      </c>
      <c r="P407">
        <v>5</v>
      </c>
      <c r="Q407" s="4">
        <v>45894</v>
      </c>
      <c r="R407" s="4"/>
      <c r="S407" t="str">
        <f>TEXT(Table1[[#This Row],[Hiring Date]],"mmmm")</f>
        <v>August</v>
      </c>
      <c r="T407" s="1">
        <f>COUNTIF(S:S,Table1[[#This Row],[Months List]])</f>
        <v>0</v>
      </c>
      <c r="U407" t="str">
        <f>TEXT(Table1[[#This Row],[Hiring Date]],"dddd")</f>
        <v>Monday</v>
      </c>
      <c r="V407" s="1" t="str">
        <f>TEXT(Table1[[#This Row],[Hiring Date]],"yyyy")</f>
        <v>2025</v>
      </c>
    </row>
    <row r="408" spans="1:22">
      <c r="A408" t="s">
        <v>1367</v>
      </c>
      <c r="B408">
        <v>26</v>
      </c>
      <c r="C408">
        <v>482</v>
      </c>
      <c r="D408" t="s">
        <v>14</v>
      </c>
      <c r="E408" t="s">
        <v>1497</v>
      </c>
      <c r="F408" t="s">
        <v>1499</v>
      </c>
      <c r="G408">
        <v>90</v>
      </c>
      <c r="H408">
        <v>2</v>
      </c>
      <c r="I408">
        <v>1</v>
      </c>
      <c r="J408" t="s">
        <v>1476</v>
      </c>
      <c r="K408" t="s">
        <v>1477</v>
      </c>
      <c r="L408">
        <v>3</v>
      </c>
      <c r="M408" t="s">
        <v>15</v>
      </c>
      <c r="N408">
        <v>1</v>
      </c>
      <c r="O408" t="s">
        <v>10</v>
      </c>
      <c r="P408">
        <v>1</v>
      </c>
      <c r="Q408" s="4">
        <v>45832</v>
      </c>
      <c r="R408" s="4"/>
      <c r="S408" t="str">
        <f>TEXT(Table1[[#This Row],[Hiring Date]],"mmmm")</f>
        <v>June</v>
      </c>
      <c r="T408" s="1">
        <f>COUNTIF(S:S,Table1[[#This Row],[Months List]])</f>
        <v>0</v>
      </c>
      <c r="U408" t="str">
        <f>TEXT(Table1[[#This Row],[Hiring Date]],"dddd")</f>
        <v>Tuesday</v>
      </c>
      <c r="V408" s="1" t="str">
        <f>TEXT(Table1[[#This Row],[Hiring Date]],"yyyy")</f>
        <v>2025</v>
      </c>
    </row>
    <row r="409" spans="1:22">
      <c r="A409" t="s">
        <v>1368</v>
      </c>
      <c r="B409">
        <v>27</v>
      </c>
      <c r="C409">
        <v>511</v>
      </c>
      <c r="D409" t="s">
        <v>11</v>
      </c>
      <c r="E409" t="s">
        <v>1495</v>
      </c>
      <c r="F409" t="s">
        <v>1499</v>
      </c>
      <c r="G409">
        <v>89</v>
      </c>
      <c r="H409">
        <v>4</v>
      </c>
      <c r="I409">
        <v>2</v>
      </c>
      <c r="J409" t="s">
        <v>1474</v>
      </c>
      <c r="K409" t="s">
        <v>1475</v>
      </c>
      <c r="L409">
        <v>3</v>
      </c>
      <c r="M409" t="s">
        <v>12</v>
      </c>
      <c r="N409">
        <v>0</v>
      </c>
      <c r="O409" t="s">
        <v>13</v>
      </c>
      <c r="P409">
        <v>9</v>
      </c>
      <c r="Q409" s="4">
        <v>45879</v>
      </c>
      <c r="R409" s="4"/>
      <c r="S409" t="str">
        <f>TEXT(Table1[[#This Row],[Hiring Date]],"mmmm")</f>
        <v>August</v>
      </c>
      <c r="T409" s="1">
        <f>COUNTIF(S:S,Table1[[#This Row],[Months List]])</f>
        <v>0</v>
      </c>
      <c r="U409" t="str">
        <f>TEXT(Table1[[#This Row],[Hiring Date]],"dddd")</f>
        <v>Sunday</v>
      </c>
      <c r="V409" s="1" t="str">
        <f>TEXT(Table1[[#This Row],[Hiring Date]],"yyyy")</f>
        <v>2025</v>
      </c>
    </row>
    <row r="410" spans="1:22">
      <c r="A410" t="s">
        <v>1369</v>
      </c>
      <c r="B410">
        <v>48</v>
      </c>
      <c r="C410">
        <v>117</v>
      </c>
      <c r="D410" t="s">
        <v>14</v>
      </c>
      <c r="E410" t="s">
        <v>1495</v>
      </c>
      <c r="F410" t="s">
        <v>1499</v>
      </c>
      <c r="G410">
        <v>58</v>
      </c>
      <c r="H410">
        <v>3</v>
      </c>
      <c r="I410">
        <v>4</v>
      </c>
      <c r="J410" t="s">
        <v>1482</v>
      </c>
      <c r="K410" t="s">
        <v>1483</v>
      </c>
      <c r="L410">
        <v>4</v>
      </c>
      <c r="M410" t="s">
        <v>16</v>
      </c>
      <c r="N410">
        <v>3</v>
      </c>
      <c r="O410" t="s">
        <v>13</v>
      </c>
      <c r="P410">
        <v>24</v>
      </c>
      <c r="Q410" s="4">
        <v>45777</v>
      </c>
      <c r="R410" s="4"/>
      <c r="S410" t="str">
        <f>TEXT(Table1[[#This Row],[Hiring Date]],"mmmm")</f>
        <v>April</v>
      </c>
      <c r="T410" s="1">
        <f>COUNTIF(S:S,Table1[[#This Row],[Months List]])</f>
        <v>0</v>
      </c>
      <c r="U410" t="str">
        <f>TEXT(Table1[[#This Row],[Hiring Date]],"dddd")</f>
        <v>Wednesday</v>
      </c>
      <c r="V410" s="1" t="str">
        <f>TEXT(Table1[[#This Row],[Hiring Date]],"yyyy")</f>
        <v>2025</v>
      </c>
    </row>
    <row r="411" spans="1:22">
      <c r="A411" t="s">
        <v>1370</v>
      </c>
      <c r="B411">
        <v>44</v>
      </c>
      <c r="C411">
        <v>170</v>
      </c>
      <c r="D411" t="s">
        <v>14</v>
      </c>
      <c r="E411" t="s">
        <v>1497</v>
      </c>
      <c r="F411" t="s">
        <v>1496</v>
      </c>
      <c r="G411">
        <v>78</v>
      </c>
      <c r="H411">
        <v>4</v>
      </c>
      <c r="I411">
        <v>2</v>
      </c>
      <c r="J411" t="s">
        <v>1478</v>
      </c>
      <c r="K411" t="s">
        <v>1479</v>
      </c>
      <c r="L411">
        <v>1</v>
      </c>
      <c r="M411" t="s">
        <v>15</v>
      </c>
      <c r="N411">
        <v>2</v>
      </c>
      <c r="O411" t="s">
        <v>13</v>
      </c>
      <c r="P411">
        <v>10</v>
      </c>
      <c r="Q411" s="4">
        <v>45995</v>
      </c>
      <c r="R411" s="4"/>
      <c r="S411" t="str">
        <f>TEXT(Table1[[#This Row],[Hiring Date]],"mmmm")</f>
        <v>December</v>
      </c>
      <c r="T411" s="1">
        <f>COUNTIF(S:S,Table1[[#This Row],[Months List]])</f>
        <v>0</v>
      </c>
      <c r="U411" t="str">
        <f>TEXT(Table1[[#This Row],[Hiring Date]],"dddd")</f>
        <v>Thursday</v>
      </c>
      <c r="V411" s="1" t="str">
        <f>TEXT(Table1[[#This Row],[Hiring Date]],"yyyy")</f>
        <v>2025</v>
      </c>
    </row>
    <row r="412" spans="1:22">
      <c r="A412" t="s">
        <v>1371</v>
      </c>
      <c r="B412">
        <v>34</v>
      </c>
      <c r="C412">
        <v>967</v>
      </c>
      <c r="D412" t="s">
        <v>14</v>
      </c>
      <c r="E412" t="s">
        <v>1501</v>
      </c>
      <c r="F412" t="s">
        <v>1496</v>
      </c>
      <c r="G412">
        <v>85</v>
      </c>
      <c r="H412">
        <v>1</v>
      </c>
      <c r="I412">
        <v>1</v>
      </c>
      <c r="J412" t="s">
        <v>1476</v>
      </c>
      <c r="K412" t="s">
        <v>1477</v>
      </c>
      <c r="L412">
        <v>1</v>
      </c>
      <c r="M412" t="s">
        <v>15</v>
      </c>
      <c r="N412">
        <v>1</v>
      </c>
      <c r="O412" t="s">
        <v>10</v>
      </c>
      <c r="P412">
        <v>5</v>
      </c>
      <c r="Q412" s="4">
        <v>45831</v>
      </c>
      <c r="R412" s="4"/>
      <c r="S412" t="str">
        <f>TEXT(Table1[[#This Row],[Hiring Date]],"mmmm")</f>
        <v>June</v>
      </c>
      <c r="T412" s="1">
        <f>COUNTIF(S:S,Table1[[#This Row],[Months List]])</f>
        <v>0</v>
      </c>
      <c r="U412" t="str">
        <f>TEXT(Table1[[#This Row],[Hiring Date]],"dddd")</f>
        <v>Monday</v>
      </c>
      <c r="V412" s="1" t="str">
        <f>TEXT(Table1[[#This Row],[Hiring Date]],"yyyy")</f>
        <v>2025</v>
      </c>
    </row>
    <row r="413" spans="1:22">
      <c r="A413" t="s">
        <v>1372</v>
      </c>
      <c r="B413">
        <v>56</v>
      </c>
      <c r="C413">
        <v>1162</v>
      </c>
      <c r="D413" t="s">
        <v>14</v>
      </c>
      <c r="E413" t="s">
        <v>1497</v>
      </c>
      <c r="F413" t="s">
        <v>1496</v>
      </c>
      <c r="G413">
        <v>97</v>
      </c>
      <c r="H413">
        <v>3</v>
      </c>
      <c r="I413">
        <v>1</v>
      </c>
      <c r="J413" t="s">
        <v>1484</v>
      </c>
      <c r="K413" t="s">
        <v>1485</v>
      </c>
      <c r="L413">
        <v>4</v>
      </c>
      <c r="M413" t="s">
        <v>12</v>
      </c>
      <c r="N413">
        <v>1</v>
      </c>
      <c r="O413" t="s">
        <v>13</v>
      </c>
      <c r="P413">
        <v>5</v>
      </c>
      <c r="Q413" s="4">
        <v>45814</v>
      </c>
      <c r="R413" s="4"/>
      <c r="S413" t="str">
        <f>TEXT(Table1[[#This Row],[Hiring Date]],"mmmm")</f>
        <v>June</v>
      </c>
      <c r="T413" s="1">
        <f>COUNTIF(S:S,Table1[[#This Row],[Months List]])</f>
        <v>0</v>
      </c>
      <c r="U413" t="str">
        <f>TEXT(Table1[[#This Row],[Hiring Date]],"dddd")</f>
        <v>Friday</v>
      </c>
      <c r="V413" s="1" t="str">
        <f>TEXT(Table1[[#This Row],[Hiring Date]],"yyyy")</f>
        <v>2025</v>
      </c>
    </row>
    <row r="414" spans="1:22">
      <c r="A414" t="s">
        <v>1373</v>
      </c>
      <c r="B414">
        <v>36</v>
      </c>
      <c r="C414">
        <v>335</v>
      </c>
      <c r="D414" t="s">
        <v>11</v>
      </c>
      <c r="E414" t="s">
        <v>1498</v>
      </c>
      <c r="F414" t="s">
        <v>1496</v>
      </c>
      <c r="G414">
        <v>33</v>
      </c>
      <c r="H414">
        <v>2</v>
      </c>
      <c r="I414">
        <v>2</v>
      </c>
      <c r="J414" t="s">
        <v>1474</v>
      </c>
      <c r="K414" t="s">
        <v>1475</v>
      </c>
      <c r="L414">
        <v>2</v>
      </c>
      <c r="M414" t="s">
        <v>15</v>
      </c>
      <c r="N414">
        <v>2</v>
      </c>
      <c r="O414" t="s">
        <v>13</v>
      </c>
      <c r="P414">
        <v>12</v>
      </c>
      <c r="Q414" s="4">
        <v>45815</v>
      </c>
      <c r="R414" s="4"/>
      <c r="S414" t="str">
        <f>TEXT(Table1[[#This Row],[Hiring Date]],"mmmm")</f>
        <v>June</v>
      </c>
      <c r="T414" s="1">
        <f>COUNTIF(S:S,Table1[[#This Row],[Months List]])</f>
        <v>0</v>
      </c>
      <c r="U414" t="str">
        <f>TEXT(Table1[[#This Row],[Hiring Date]],"dddd")</f>
        <v>Saturday</v>
      </c>
      <c r="V414" s="1" t="str">
        <f>TEXT(Table1[[#This Row],[Hiring Date]],"yyyy")</f>
        <v>2025</v>
      </c>
    </row>
    <row r="415" spans="1:22">
      <c r="A415" t="s">
        <v>1374</v>
      </c>
      <c r="B415">
        <v>41</v>
      </c>
      <c r="C415">
        <v>337</v>
      </c>
      <c r="D415" t="s">
        <v>11</v>
      </c>
      <c r="E415" t="s">
        <v>1498</v>
      </c>
      <c r="F415" t="s">
        <v>1499</v>
      </c>
      <c r="G415">
        <v>54</v>
      </c>
      <c r="H415">
        <v>3</v>
      </c>
      <c r="I415">
        <v>2</v>
      </c>
      <c r="J415" t="s">
        <v>1474</v>
      </c>
      <c r="K415" t="s">
        <v>1475</v>
      </c>
      <c r="L415">
        <v>2</v>
      </c>
      <c r="M415" t="s">
        <v>15</v>
      </c>
      <c r="N415">
        <v>5</v>
      </c>
      <c r="O415" t="s">
        <v>13</v>
      </c>
      <c r="P415">
        <v>14</v>
      </c>
      <c r="Q415" s="4">
        <v>45958</v>
      </c>
      <c r="R415" s="4"/>
      <c r="S415" t="str">
        <f>TEXT(Table1[[#This Row],[Hiring Date]],"mmmm")</f>
        <v>October</v>
      </c>
      <c r="T415" s="1">
        <f>COUNTIF(S:S,Table1[[#This Row],[Months List]])</f>
        <v>0</v>
      </c>
      <c r="U415" t="str">
        <f>TEXT(Table1[[#This Row],[Hiring Date]],"dddd")</f>
        <v>Tuesday</v>
      </c>
      <c r="V415" s="1" t="str">
        <f>TEXT(Table1[[#This Row],[Hiring Date]],"yyyy")</f>
        <v>2025</v>
      </c>
    </row>
    <row r="416" spans="1:22">
      <c r="A416" t="s">
        <v>1375</v>
      </c>
      <c r="B416">
        <v>42</v>
      </c>
      <c r="C416">
        <v>1396</v>
      </c>
      <c r="D416" t="s">
        <v>14</v>
      </c>
      <c r="E416" t="s">
        <v>1495</v>
      </c>
      <c r="F416" t="s">
        <v>1496</v>
      </c>
      <c r="G416">
        <v>83</v>
      </c>
      <c r="H416">
        <v>3</v>
      </c>
      <c r="I416">
        <v>3</v>
      </c>
      <c r="J416" t="s">
        <v>1487</v>
      </c>
      <c r="K416" t="s">
        <v>1488</v>
      </c>
      <c r="L416">
        <v>1</v>
      </c>
      <c r="M416" t="s">
        <v>15</v>
      </c>
      <c r="N416">
        <v>9</v>
      </c>
      <c r="O416" t="s">
        <v>13</v>
      </c>
      <c r="P416">
        <v>18</v>
      </c>
      <c r="Q416" s="4">
        <v>45886</v>
      </c>
      <c r="R416" s="4"/>
      <c r="S416" t="str">
        <f>TEXT(Table1[[#This Row],[Hiring Date]],"mmmm")</f>
        <v>August</v>
      </c>
      <c r="T416" s="1">
        <f>COUNTIF(S:S,Table1[[#This Row],[Months List]])</f>
        <v>0</v>
      </c>
      <c r="U416" t="str">
        <f>TEXT(Table1[[#This Row],[Hiring Date]],"dddd")</f>
        <v>Sunday</v>
      </c>
      <c r="V416" s="1" t="str">
        <f>TEXT(Table1[[#This Row],[Hiring Date]],"yyyy")</f>
        <v>2025</v>
      </c>
    </row>
    <row r="417" spans="1:22">
      <c r="A417" t="s">
        <v>1376</v>
      </c>
      <c r="B417">
        <v>31</v>
      </c>
      <c r="C417">
        <v>1079</v>
      </c>
      <c r="D417" t="s">
        <v>11</v>
      </c>
      <c r="E417" t="s">
        <v>1495</v>
      </c>
      <c r="F417" t="s">
        <v>1499</v>
      </c>
      <c r="G417">
        <v>86</v>
      </c>
      <c r="H417">
        <v>3</v>
      </c>
      <c r="I417">
        <v>2</v>
      </c>
      <c r="J417" t="s">
        <v>1474</v>
      </c>
      <c r="K417" t="s">
        <v>1475</v>
      </c>
      <c r="L417">
        <v>4</v>
      </c>
      <c r="M417" t="s">
        <v>16</v>
      </c>
      <c r="N417">
        <v>2</v>
      </c>
      <c r="O417" t="s">
        <v>10</v>
      </c>
      <c r="P417">
        <v>8</v>
      </c>
      <c r="Q417" s="4">
        <v>45929</v>
      </c>
      <c r="R417" s="4"/>
      <c r="S417" t="str">
        <f>TEXT(Table1[[#This Row],[Hiring Date]],"mmmm")</f>
        <v>September</v>
      </c>
      <c r="T417" s="1">
        <f>COUNTIF(S:S,Table1[[#This Row],[Months List]])</f>
        <v>0</v>
      </c>
      <c r="U417" t="str">
        <f>TEXT(Table1[[#This Row],[Hiring Date]],"dddd")</f>
        <v>Monday</v>
      </c>
      <c r="V417" s="1" t="str">
        <f>TEXT(Table1[[#This Row],[Hiring Date]],"yyyy")</f>
        <v>2025</v>
      </c>
    </row>
    <row r="418" spans="1:22">
      <c r="A418" t="s">
        <v>144</v>
      </c>
      <c r="B418">
        <v>58</v>
      </c>
      <c r="C418">
        <v>147</v>
      </c>
      <c r="D418" t="s">
        <v>14</v>
      </c>
      <c r="E418" t="s">
        <v>1495</v>
      </c>
      <c r="F418" t="s">
        <v>1499</v>
      </c>
      <c r="G418">
        <v>94</v>
      </c>
      <c r="H418">
        <v>3</v>
      </c>
      <c r="I418">
        <v>3</v>
      </c>
      <c r="J418" t="s">
        <v>1478</v>
      </c>
      <c r="K418" t="s">
        <v>1479</v>
      </c>
      <c r="L418">
        <v>4</v>
      </c>
      <c r="M418" t="s">
        <v>15</v>
      </c>
      <c r="N418">
        <v>1</v>
      </c>
      <c r="O418" t="s">
        <v>13</v>
      </c>
      <c r="P418">
        <v>40</v>
      </c>
      <c r="Q418" s="4">
        <v>45657</v>
      </c>
      <c r="R418" s="4"/>
      <c r="S418" t="str">
        <f>TEXT(Table1[[#This Row],[Hiring Date]],"mmmm")</f>
        <v>December</v>
      </c>
      <c r="T418" s="1">
        <f>COUNTIF(S:S,Table1[[#This Row],[Months List]])</f>
        <v>0</v>
      </c>
      <c r="U418" t="str">
        <f>TEXT(Table1[[#This Row],[Hiring Date]],"dddd")</f>
        <v>Tuesday</v>
      </c>
      <c r="V418" s="1" t="str">
        <f>TEXT(Table1[[#This Row],[Hiring Date]],"yyyy")</f>
        <v>2024</v>
      </c>
    </row>
    <row r="419" spans="1:22">
      <c r="A419" t="s">
        <v>144</v>
      </c>
      <c r="B419">
        <v>58</v>
      </c>
      <c r="C419">
        <v>147</v>
      </c>
      <c r="D419" t="s">
        <v>14</v>
      </c>
      <c r="E419" t="s">
        <v>1495</v>
      </c>
      <c r="F419" t="s">
        <v>1499</v>
      </c>
      <c r="G419">
        <v>94</v>
      </c>
      <c r="H419">
        <v>3</v>
      </c>
      <c r="I419">
        <v>3</v>
      </c>
      <c r="J419" t="s">
        <v>1478</v>
      </c>
      <c r="K419" t="s">
        <v>1479</v>
      </c>
      <c r="L419">
        <v>4</v>
      </c>
      <c r="M419" t="s">
        <v>15</v>
      </c>
      <c r="N419">
        <v>1</v>
      </c>
      <c r="O419" t="s">
        <v>13</v>
      </c>
      <c r="P419">
        <v>40</v>
      </c>
      <c r="Q419" s="4">
        <v>45837</v>
      </c>
      <c r="R419" s="4"/>
      <c r="S419" t="str">
        <f>TEXT(Table1[[#This Row],[Hiring Date]],"mmmm")</f>
        <v>June</v>
      </c>
      <c r="T419" s="1">
        <f>COUNTIF(S:S,Table1[[#This Row],[Months List]])</f>
        <v>0</v>
      </c>
      <c r="U419" t="str">
        <f>TEXT(Table1[[#This Row],[Hiring Date]],"dddd")</f>
        <v>Sunday</v>
      </c>
      <c r="V419" s="1" t="str">
        <f>TEXT(Table1[[#This Row],[Hiring Date]],"yyyy")</f>
        <v>2025</v>
      </c>
    </row>
    <row r="420" spans="1:22">
      <c r="A420" t="s">
        <v>1377</v>
      </c>
      <c r="B420">
        <v>34</v>
      </c>
      <c r="C420">
        <v>735</v>
      </c>
      <c r="D420" t="s">
        <v>11</v>
      </c>
      <c r="E420" t="s">
        <v>1495</v>
      </c>
      <c r="F420" t="s">
        <v>1499</v>
      </c>
      <c r="G420">
        <v>75</v>
      </c>
      <c r="H420">
        <v>2</v>
      </c>
      <c r="I420">
        <v>2</v>
      </c>
      <c r="J420" t="s">
        <v>1474</v>
      </c>
      <c r="K420" t="s">
        <v>1475</v>
      </c>
      <c r="L420">
        <v>4</v>
      </c>
      <c r="M420" t="s">
        <v>15</v>
      </c>
      <c r="N420">
        <v>3</v>
      </c>
      <c r="O420" t="s">
        <v>10</v>
      </c>
      <c r="P420">
        <v>9</v>
      </c>
      <c r="Q420" s="4">
        <v>45792</v>
      </c>
      <c r="R420" s="4"/>
      <c r="S420" t="str">
        <f>TEXT(Table1[[#This Row],[Hiring Date]],"mmmm")</f>
        <v>May</v>
      </c>
      <c r="T420" s="1">
        <f>COUNTIF(S:S,Table1[[#This Row],[Months List]])</f>
        <v>0</v>
      </c>
      <c r="U420" t="str">
        <f>TEXT(Table1[[#This Row],[Hiring Date]],"dddd")</f>
        <v>Thursday</v>
      </c>
      <c r="V420" s="1" t="str">
        <f>TEXT(Table1[[#This Row],[Hiring Date]],"yyyy")</f>
        <v>2025</v>
      </c>
    </row>
    <row r="421" spans="1:22">
      <c r="A421" t="s">
        <v>1378</v>
      </c>
      <c r="B421">
        <v>31</v>
      </c>
      <c r="C421">
        <v>471</v>
      </c>
      <c r="D421" t="s">
        <v>14</v>
      </c>
      <c r="E421" t="s">
        <v>1495</v>
      </c>
      <c r="F421" t="s">
        <v>1499</v>
      </c>
      <c r="G421">
        <v>62</v>
      </c>
      <c r="H421">
        <v>4</v>
      </c>
      <c r="I421">
        <v>1</v>
      </c>
      <c r="J421" t="s">
        <v>1484</v>
      </c>
      <c r="K421" t="s">
        <v>1485</v>
      </c>
      <c r="L421">
        <v>3</v>
      </c>
      <c r="M421" t="s">
        <v>16</v>
      </c>
      <c r="N421">
        <v>8</v>
      </c>
      <c r="O421" t="s">
        <v>13</v>
      </c>
      <c r="P421">
        <v>4</v>
      </c>
      <c r="Q421" s="4">
        <v>45889</v>
      </c>
      <c r="R421" s="4"/>
      <c r="S421" t="str">
        <f>TEXT(Table1[[#This Row],[Hiring Date]],"mmmm")</f>
        <v>August</v>
      </c>
      <c r="T421" s="1">
        <f>COUNTIF(S:S,Table1[[#This Row],[Months List]])</f>
        <v>0</v>
      </c>
      <c r="U421" t="str">
        <f>TEXT(Table1[[#This Row],[Hiring Date]],"dddd")</f>
        <v>Wednesday</v>
      </c>
      <c r="V421" s="1" t="str">
        <f>TEXT(Table1[[#This Row],[Hiring Date]],"yyyy")</f>
        <v>2025</v>
      </c>
    </row>
    <row r="422" spans="1:22">
      <c r="A422" t="s">
        <v>1379</v>
      </c>
      <c r="B422">
        <v>26</v>
      </c>
      <c r="C422">
        <v>1096</v>
      </c>
      <c r="D422" t="s">
        <v>14</v>
      </c>
      <c r="E422" t="s">
        <v>1500</v>
      </c>
      <c r="F422" t="s">
        <v>1496</v>
      </c>
      <c r="G422">
        <v>61</v>
      </c>
      <c r="H422">
        <v>4</v>
      </c>
      <c r="I422">
        <v>1</v>
      </c>
      <c r="J422" t="s">
        <v>1484</v>
      </c>
      <c r="K422" t="s">
        <v>1485</v>
      </c>
      <c r="L422">
        <v>4</v>
      </c>
      <c r="M422" t="s">
        <v>15</v>
      </c>
      <c r="N422">
        <v>0</v>
      </c>
      <c r="O422" t="s">
        <v>13</v>
      </c>
      <c r="P422">
        <v>8</v>
      </c>
      <c r="Q422" s="4">
        <v>45776</v>
      </c>
      <c r="R422" s="4"/>
      <c r="S422" t="str">
        <f>TEXT(Table1[[#This Row],[Hiring Date]],"mmmm")</f>
        <v>April</v>
      </c>
      <c r="T422" s="1">
        <f>COUNTIF(S:S,Table1[[#This Row],[Months List]])</f>
        <v>0</v>
      </c>
      <c r="U422" t="str">
        <f>TEXT(Table1[[#This Row],[Hiring Date]],"dddd")</f>
        <v>Tuesday</v>
      </c>
      <c r="V422" s="1" t="str">
        <f>TEXT(Table1[[#This Row],[Hiring Date]],"yyyy")</f>
        <v>2025</v>
      </c>
    </row>
    <row r="423" spans="1:22">
      <c r="A423" t="s">
        <v>1380</v>
      </c>
      <c r="B423">
        <v>45</v>
      </c>
      <c r="C423">
        <v>1297</v>
      </c>
      <c r="D423" t="s">
        <v>14</v>
      </c>
      <c r="E423" t="s">
        <v>1495</v>
      </c>
      <c r="F423" t="s">
        <v>1496</v>
      </c>
      <c r="G423">
        <v>44</v>
      </c>
      <c r="H423">
        <v>3</v>
      </c>
      <c r="I423">
        <v>2</v>
      </c>
      <c r="J423" t="s">
        <v>1478</v>
      </c>
      <c r="K423" t="s">
        <v>1479</v>
      </c>
      <c r="L423">
        <v>3</v>
      </c>
      <c r="M423" t="s">
        <v>12</v>
      </c>
      <c r="N423">
        <v>4</v>
      </c>
      <c r="O423" t="s">
        <v>13</v>
      </c>
      <c r="P423">
        <v>12</v>
      </c>
      <c r="Q423" s="4">
        <v>45908</v>
      </c>
      <c r="R423" s="4"/>
      <c r="S423" t="str">
        <f>TEXT(Table1[[#This Row],[Hiring Date]],"mmmm")</f>
        <v>September</v>
      </c>
      <c r="T423" s="1">
        <f>COUNTIF(S:S,Table1[[#This Row],[Months List]])</f>
        <v>0</v>
      </c>
      <c r="U423" t="str">
        <f>TEXT(Table1[[#This Row],[Hiring Date]],"dddd")</f>
        <v>Monday</v>
      </c>
      <c r="V423" s="1" t="str">
        <f>TEXT(Table1[[#This Row],[Hiring Date]],"yyyy")</f>
        <v>2025</v>
      </c>
    </row>
    <row r="424" spans="1:22">
      <c r="A424" t="s">
        <v>1381</v>
      </c>
      <c r="B424">
        <v>33</v>
      </c>
      <c r="C424">
        <v>217</v>
      </c>
      <c r="D424" t="s">
        <v>11</v>
      </c>
      <c r="E424" t="s">
        <v>1498</v>
      </c>
      <c r="F424" t="s">
        <v>1496</v>
      </c>
      <c r="G424">
        <v>43</v>
      </c>
      <c r="H424">
        <v>3</v>
      </c>
      <c r="I424">
        <v>2</v>
      </c>
      <c r="J424" t="s">
        <v>1474</v>
      </c>
      <c r="K424" t="s">
        <v>1475</v>
      </c>
      <c r="L424">
        <v>3</v>
      </c>
      <c r="M424" t="s">
        <v>12</v>
      </c>
      <c r="N424">
        <v>1</v>
      </c>
      <c r="O424" t="s">
        <v>13</v>
      </c>
      <c r="P424">
        <v>10</v>
      </c>
      <c r="Q424" s="4">
        <v>45940</v>
      </c>
      <c r="R424" s="4"/>
      <c r="S424" t="str">
        <f>TEXT(Table1[[#This Row],[Hiring Date]],"mmmm")</f>
        <v>October</v>
      </c>
      <c r="T424" s="1">
        <f>COUNTIF(S:S,Table1[[#This Row],[Months List]])</f>
        <v>0</v>
      </c>
      <c r="U424" t="str">
        <f>TEXT(Table1[[#This Row],[Hiring Date]],"dddd")</f>
        <v>Friday</v>
      </c>
      <c r="V424" s="1" t="str">
        <f>TEXT(Table1[[#This Row],[Hiring Date]],"yyyy")</f>
        <v>2025</v>
      </c>
    </row>
    <row r="425" spans="1:22">
      <c r="A425" t="s">
        <v>1382</v>
      </c>
      <c r="B425">
        <v>28</v>
      </c>
      <c r="C425">
        <v>783</v>
      </c>
      <c r="D425" t="s">
        <v>11</v>
      </c>
      <c r="E425" t="s">
        <v>1497</v>
      </c>
      <c r="F425" t="s">
        <v>1496</v>
      </c>
      <c r="G425">
        <v>42</v>
      </c>
      <c r="H425">
        <v>2</v>
      </c>
      <c r="I425">
        <v>2</v>
      </c>
      <c r="J425" t="s">
        <v>1474</v>
      </c>
      <c r="K425" t="s">
        <v>1475</v>
      </c>
      <c r="L425">
        <v>4</v>
      </c>
      <c r="M425" t="s">
        <v>15</v>
      </c>
      <c r="N425">
        <v>1</v>
      </c>
      <c r="O425" t="s">
        <v>10</v>
      </c>
      <c r="P425">
        <v>7</v>
      </c>
      <c r="Q425" s="4">
        <v>45762</v>
      </c>
      <c r="R425" s="4"/>
      <c r="S425" t="str">
        <f>TEXT(Table1[[#This Row],[Hiring Date]],"mmmm")</f>
        <v>April</v>
      </c>
      <c r="T425" s="1">
        <f>COUNTIF(S:S,Table1[[#This Row],[Months List]])</f>
        <v>0</v>
      </c>
      <c r="U425" t="str">
        <f>TEXT(Table1[[#This Row],[Hiring Date]],"dddd")</f>
        <v>Tuesday</v>
      </c>
      <c r="V425" s="1" t="str">
        <f>TEXT(Table1[[#This Row],[Hiring Date]],"yyyy")</f>
        <v>2025</v>
      </c>
    </row>
    <row r="426" spans="1:22">
      <c r="A426" t="s">
        <v>1383</v>
      </c>
      <c r="B426">
        <v>29</v>
      </c>
      <c r="C426">
        <v>746</v>
      </c>
      <c r="D426" t="s">
        <v>11</v>
      </c>
      <c r="E426" t="s">
        <v>1501</v>
      </c>
      <c r="F426" t="s">
        <v>1496</v>
      </c>
      <c r="G426">
        <v>45</v>
      </c>
      <c r="H426">
        <v>4</v>
      </c>
      <c r="I426">
        <v>1</v>
      </c>
      <c r="J426" t="s">
        <v>1489</v>
      </c>
      <c r="K426" t="s">
        <v>1490</v>
      </c>
      <c r="L426">
        <v>1</v>
      </c>
      <c r="M426" t="s">
        <v>12</v>
      </c>
      <c r="N426">
        <v>1</v>
      </c>
      <c r="O426" t="s">
        <v>13</v>
      </c>
      <c r="P426">
        <v>1</v>
      </c>
      <c r="Q426" s="4">
        <v>45906</v>
      </c>
      <c r="R426" s="4"/>
      <c r="S426" t="str">
        <f>TEXT(Table1[[#This Row],[Hiring Date]],"mmmm")</f>
        <v>September</v>
      </c>
      <c r="T426" s="1">
        <f>COUNTIF(S:S,Table1[[#This Row],[Months List]])</f>
        <v>0</v>
      </c>
      <c r="U426" t="str">
        <f>TEXT(Table1[[#This Row],[Hiring Date]],"dddd")</f>
        <v>Saturday</v>
      </c>
      <c r="V426" s="1" t="str">
        <f>TEXT(Table1[[#This Row],[Hiring Date]],"yyyy")</f>
        <v>2025</v>
      </c>
    </row>
    <row r="427" spans="1:22">
      <c r="A427" t="s">
        <v>1384</v>
      </c>
      <c r="B427">
        <v>39</v>
      </c>
      <c r="C427">
        <v>1251</v>
      </c>
      <c r="D427" t="s">
        <v>11</v>
      </c>
      <c r="E427" t="s">
        <v>1497</v>
      </c>
      <c r="F427" t="s">
        <v>1499</v>
      </c>
      <c r="G427">
        <v>32</v>
      </c>
      <c r="H427">
        <v>1</v>
      </c>
      <c r="I427">
        <v>2</v>
      </c>
      <c r="J427" t="s">
        <v>1474</v>
      </c>
      <c r="K427" t="s">
        <v>1475</v>
      </c>
      <c r="L427">
        <v>3</v>
      </c>
      <c r="M427" t="s">
        <v>15</v>
      </c>
      <c r="N427">
        <v>6</v>
      </c>
      <c r="O427" t="s">
        <v>13</v>
      </c>
      <c r="P427">
        <v>10</v>
      </c>
      <c r="Q427" s="4">
        <v>45980</v>
      </c>
      <c r="R427" s="4"/>
      <c r="S427" t="str">
        <f>TEXT(Table1[[#This Row],[Hiring Date]],"mmmm")</f>
        <v>November</v>
      </c>
      <c r="T427" s="1">
        <f>COUNTIF(S:S,Table1[[#This Row],[Months List]])</f>
        <v>0</v>
      </c>
      <c r="U427" t="str">
        <f>TEXT(Table1[[#This Row],[Hiring Date]],"dddd")</f>
        <v>Wednesday</v>
      </c>
      <c r="V427" s="1" t="str">
        <f>TEXT(Table1[[#This Row],[Hiring Date]],"yyyy")</f>
        <v>2025</v>
      </c>
    </row>
    <row r="428" spans="1:22">
      <c r="A428" t="s">
        <v>1385</v>
      </c>
      <c r="B428">
        <v>27</v>
      </c>
      <c r="C428">
        <v>1354</v>
      </c>
      <c r="D428" t="s">
        <v>14</v>
      </c>
      <c r="E428" t="s">
        <v>1501</v>
      </c>
      <c r="F428" t="s">
        <v>1496</v>
      </c>
      <c r="G428">
        <v>41</v>
      </c>
      <c r="H428">
        <v>3</v>
      </c>
      <c r="I428">
        <v>1</v>
      </c>
      <c r="J428" t="s">
        <v>1476</v>
      </c>
      <c r="K428" t="s">
        <v>1477</v>
      </c>
      <c r="L428">
        <v>2</v>
      </c>
      <c r="M428" t="s">
        <v>15</v>
      </c>
      <c r="N428">
        <v>1</v>
      </c>
      <c r="O428" t="s">
        <v>13</v>
      </c>
      <c r="P428">
        <v>6</v>
      </c>
      <c r="Q428" s="4">
        <v>45903</v>
      </c>
      <c r="R428" s="4"/>
      <c r="S428" t="str">
        <f>TEXT(Table1[[#This Row],[Hiring Date]],"mmmm")</f>
        <v>September</v>
      </c>
      <c r="T428" s="1">
        <f>COUNTIF(S:S,Table1[[#This Row],[Months List]])</f>
        <v>0</v>
      </c>
      <c r="U428" t="str">
        <f>TEXT(Table1[[#This Row],[Hiring Date]],"dddd")</f>
        <v>Wednesday</v>
      </c>
      <c r="V428" s="1" t="str">
        <f>TEXT(Table1[[#This Row],[Hiring Date]],"yyyy")</f>
        <v>2025</v>
      </c>
    </row>
    <row r="429" spans="1:22">
      <c r="A429" t="s">
        <v>1386</v>
      </c>
      <c r="B429">
        <v>34</v>
      </c>
      <c r="C429">
        <v>735</v>
      </c>
      <c r="D429" t="s">
        <v>14</v>
      </c>
      <c r="E429" t="s">
        <v>1500</v>
      </c>
      <c r="F429" t="s">
        <v>1496</v>
      </c>
      <c r="G429">
        <v>86</v>
      </c>
      <c r="H429">
        <v>2</v>
      </c>
      <c r="I429">
        <v>2</v>
      </c>
      <c r="J429" t="s">
        <v>1476</v>
      </c>
      <c r="K429" t="s">
        <v>1477</v>
      </c>
      <c r="L429">
        <v>4</v>
      </c>
      <c r="M429" t="s">
        <v>15</v>
      </c>
      <c r="N429">
        <v>1</v>
      </c>
      <c r="O429" t="s">
        <v>10</v>
      </c>
      <c r="P429">
        <v>16</v>
      </c>
      <c r="Q429" s="4">
        <v>45895</v>
      </c>
      <c r="R429" s="4"/>
      <c r="S429" t="str">
        <f>TEXT(Table1[[#This Row],[Hiring Date]],"mmmm")</f>
        <v>August</v>
      </c>
      <c r="T429" s="1">
        <f>COUNTIF(S:S,Table1[[#This Row],[Months List]])</f>
        <v>0</v>
      </c>
      <c r="U429" t="str">
        <f>TEXT(Table1[[#This Row],[Hiring Date]],"dddd")</f>
        <v>Tuesday</v>
      </c>
      <c r="V429" s="1" t="str">
        <f>TEXT(Table1[[#This Row],[Hiring Date]],"yyyy")</f>
        <v>2025</v>
      </c>
    </row>
    <row r="430" spans="1:22">
      <c r="A430" t="s">
        <v>145</v>
      </c>
      <c r="B430">
        <v>19</v>
      </c>
      <c r="C430">
        <v>528</v>
      </c>
      <c r="D430" t="s">
        <v>11</v>
      </c>
      <c r="E430" t="s">
        <v>1498</v>
      </c>
      <c r="F430" t="s">
        <v>1496</v>
      </c>
      <c r="G430">
        <v>50</v>
      </c>
      <c r="H430">
        <v>3</v>
      </c>
      <c r="I430">
        <v>1</v>
      </c>
      <c r="J430" t="s">
        <v>1489</v>
      </c>
      <c r="K430" t="s">
        <v>1490</v>
      </c>
      <c r="L430">
        <v>3</v>
      </c>
      <c r="M430" t="s">
        <v>12</v>
      </c>
      <c r="N430">
        <v>1</v>
      </c>
      <c r="O430" t="s">
        <v>10</v>
      </c>
      <c r="P430">
        <v>0</v>
      </c>
      <c r="Q430" s="4">
        <v>45787</v>
      </c>
      <c r="R430" s="4"/>
      <c r="S430" t="str">
        <f>TEXT(Table1[[#This Row],[Hiring Date]],"mmmm")</f>
        <v>May</v>
      </c>
      <c r="T430" s="1">
        <f>COUNTIF(S:S,Table1[[#This Row],[Months List]])</f>
        <v>0</v>
      </c>
      <c r="U430" t="str">
        <f>TEXT(Table1[[#This Row],[Hiring Date]],"dddd")</f>
        <v>Saturday</v>
      </c>
      <c r="V430" s="1" t="str">
        <f>TEXT(Table1[[#This Row],[Hiring Date]],"yyyy")</f>
        <v>2025</v>
      </c>
    </row>
    <row r="431" spans="1:22">
      <c r="A431" t="s">
        <v>145</v>
      </c>
      <c r="B431">
        <v>19</v>
      </c>
      <c r="C431">
        <v>528</v>
      </c>
      <c r="D431" t="s">
        <v>11</v>
      </c>
      <c r="E431" t="s">
        <v>1498</v>
      </c>
      <c r="F431" t="s">
        <v>1496</v>
      </c>
      <c r="G431">
        <v>50</v>
      </c>
      <c r="H431">
        <v>3</v>
      </c>
      <c r="I431">
        <v>1</v>
      </c>
      <c r="J431" t="s">
        <v>1489</v>
      </c>
      <c r="K431" t="s">
        <v>1490</v>
      </c>
      <c r="L431">
        <v>3</v>
      </c>
      <c r="M431" t="s">
        <v>12</v>
      </c>
      <c r="N431">
        <v>1</v>
      </c>
      <c r="O431" t="s">
        <v>10</v>
      </c>
      <c r="P431">
        <v>0</v>
      </c>
      <c r="Q431" s="4">
        <v>45907</v>
      </c>
      <c r="R431" s="4"/>
      <c r="S431" t="str">
        <f>TEXT(Table1[[#This Row],[Hiring Date]],"mmmm")</f>
        <v>September</v>
      </c>
      <c r="T431" s="1">
        <f>COUNTIF(S:S,Table1[[#This Row],[Months List]])</f>
        <v>0</v>
      </c>
      <c r="U431" t="str">
        <f>TEXT(Table1[[#This Row],[Hiring Date]],"dddd")</f>
        <v>Sunday</v>
      </c>
      <c r="V431" s="1" t="str">
        <f>TEXT(Table1[[#This Row],[Hiring Date]],"yyyy")</f>
        <v>2025</v>
      </c>
    </row>
    <row r="432" spans="1:22">
      <c r="A432" t="s">
        <v>1387</v>
      </c>
      <c r="B432">
        <v>28</v>
      </c>
      <c r="C432">
        <v>1475</v>
      </c>
      <c r="D432" t="s">
        <v>11</v>
      </c>
      <c r="E432" t="s">
        <v>1498</v>
      </c>
      <c r="F432" t="s">
        <v>1499</v>
      </c>
      <c r="G432">
        <v>84</v>
      </c>
      <c r="H432">
        <v>3</v>
      </c>
      <c r="I432">
        <v>2</v>
      </c>
      <c r="J432" t="s">
        <v>1474</v>
      </c>
      <c r="K432" t="s">
        <v>1475</v>
      </c>
      <c r="L432">
        <v>3</v>
      </c>
      <c r="M432" t="s">
        <v>12</v>
      </c>
      <c r="N432">
        <v>3</v>
      </c>
      <c r="O432" t="s">
        <v>10</v>
      </c>
      <c r="P432">
        <v>6</v>
      </c>
      <c r="Q432" s="4">
        <v>45916</v>
      </c>
      <c r="R432" s="4"/>
      <c r="S432" t="str">
        <f>TEXT(Table1[[#This Row],[Hiring Date]],"mmmm")</f>
        <v>September</v>
      </c>
      <c r="T432" s="1">
        <f>COUNTIF(S:S,Table1[[#This Row],[Months List]])</f>
        <v>0</v>
      </c>
      <c r="U432" t="str">
        <f>TEXT(Table1[[#This Row],[Hiring Date]],"dddd")</f>
        <v>Tuesday</v>
      </c>
      <c r="V432" s="1" t="str">
        <f>TEXT(Table1[[#This Row],[Hiring Date]],"yyyy")</f>
        <v>2025</v>
      </c>
    </row>
    <row r="433" spans="1:22">
      <c r="A433" t="s">
        <v>1388</v>
      </c>
      <c r="B433">
        <v>47</v>
      </c>
      <c r="C433">
        <v>1169</v>
      </c>
      <c r="D433" t="s">
        <v>14</v>
      </c>
      <c r="E433" t="s">
        <v>1501</v>
      </c>
      <c r="F433" t="s">
        <v>1496</v>
      </c>
      <c r="G433">
        <v>64</v>
      </c>
      <c r="H433">
        <v>3</v>
      </c>
      <c r="I433">
        <v>2</v>
      </c>
      <c r="J433" t="s">
        <v>1476</v>
      </c>
      <c r="K433" t="s">
        <v>1477</v>
      </c>
      <c r="L433">
        <v>2</v>
      </c>
      <c r="M433" t="s">
        <v>15</v>
      </c>
      <c r="N433">
        <v>8</v>
      </c>
      <c r="O433" t="s">
        <v>13</v>
      </c>
      <c r="P433">
        <v>16</v>
      </c>
      <c r="Q433" s="4">
        <v>45916</v>
      </c>
      <c r="R433" s="4"/>
      <c r="S433" t="str">
        <f>TEXT(Table1[[#This Row],[Hiring Date]],"mmmm")</f>
        <v>September</v>
      </c>
      <c r="T433" s="1">
        <f>COUNTIF(S:S,Table1[[#This Row],[Months List]])</f>
        <v>0</v>
      </c>
      <c r="U433" t="str">
        <f>TEXT(Table1[[#This Row],[Hiring Date]],"dddd")</f>
        <v>Tuesday</v>
      </c>
      <c r="V433" s="1" t="str">
        <f>TEXT(Table1[[#This Row],[Hiring Date]],"yyyy")</f>
        <v>2025</v>
      </c>
    </row>
    <row r="434" spans="1:22">
      <c r="A434" t="s">
        <v>1389</v>
      </c>
      <c r="B434">
        <v>56</v>
      </c>
      <c r="C434">
        <v>1443</v>
      </c>
      <c r="D434" t="s">
        <v>11</v>
      </c>
      <c r="E434" t="s">
        <v>1498</v>
      </c>
      <c r="F434" t="s">
        <v>1499</v>
      </c>
      <c r="G434">
        <v>89</v>
      </c>
      <c r="H434">
        <v>2</v>
      </c>
      <c r="I434">
        <v>2</v>
      </c>
      <c r="J434" t="s">
        <v>1474</v>
      </c>
      <c r="K434" t="s">
        <v>1475</v>
      </c>
      <c r="L434">
        <v>1</v>
      </c>
      <c r="M434" t="s">
        <v>15</v>
      </c>
      <c r="N434">
        <v>4</v>
      </c>
      <c r="O434" t="s">
        <v>13</v>
      </c>
      <c r="P434">
        <v>6</v>
      </c>
      <c r="Q434" s="4">
        <v>45637</v>
      </c>
      <c r="R434" s="4"/>
      <c r="S434" t="str">
        <f>TEXT(Table1[[#This Row],[Hiring Date]],"mmmm")</f>
        <v>December</v>
      </c>
      <c r="T434" s="1">
        <f>COUNTIF(S:S,Table1[[#This Row],[Months List]])</f>
        <v>0</v>
      </c>
      <c r="U434" t="str">
        <f>TEXT(Table1[[#This Row],[Hiring Date]],"dddd")</f>
        <v>Wednesday</v>
      </c>
      <c r="V434" s="1" t="str">
        <f>TEXT(Table1[[#This Row],[Hiring Date]],"yyyy")</f>
        <v>2024</v>
      </c>
    </row>
    <row r="435" spans="1:22">
      <c r="A435" t="s">
        <v>1390</v>
      </c>
      <c r="B435">
        <v>39</v>
      </c>
      <c r="C435">
        <v>867</v>
      </c>
      <c r="D435" t="s">
        <v>14</v>
      </c>
      <c r="E435" t="s">
        <v>1495</v>
      </c>
      <c r="F435" t="s">
        <v>1496</v>
      </c>
      <c r="G435">
        <v>87</v>
      </c>
      <c r="H435">
        <v>3</v>
      </c>
      <c r="I435">
        <v>2</v>
      </c>
      <c r="J435" t="s">
        <v>1480</v>
      </c>
      <c r="K435" t="s">
        <v>1481</v>
      </c>
      <c r="L435">
        <v>1</v>
      </c>
      <c r="M435" t="s">
        <v>15</v>
      </c>
      <c r="N435">
        <v>1</v>
      </c>
      <c r="O435" t="s">
        <v>13</v>
      </c>
      <c r="P435">
        <v>10</v>
      </c>
      <c r="Q435" s="4">
        <v>45814</v>
      </c>
      <c r="R435" s="4"/>
      <c r="S435" t="str">
        <f>TEXT(Table1[[#This Row],[Hiring Date]],"mmmm")</f>
        <v>June</v>
      </c>
      <c r="T435" s="1">
        <f>COUNTIF(S:S,Table1[[#This Row],[Months List]])</f>
        <v>0</v>
      </c>
      <c r="U435" t="str">
        <f>TEXT(Table1[[#This Row],[Hiring Date]],"dddd")</f>
        <v>Friday</v>
      </c>
      <c r="V435" s="1" t="str">
        <f>TEXT(Table1[[#This Row],[Hiring Date]],"yyyy")</f>
        <v>2025</v>
      </c>
    </row>
    <row r="436" spans="1:22">
      <c r="A436" t="s">
        <v>1391</v>
      </c>
      <c r="B436">
        <v>38</v>
      </c>
      <c r="C436">
        <v>1394</v>
      </c>
      <c r="D436" t="s">
        <v>14</v>
      </c>
      <c r="E436" t="s">
        <v>1495</v>
      </c>
      <c r="F436" t="s">
        <v>1499</v>
      </c>
      <c r="G436">
        <v>58</v>
      </c>
      <c r="H436">
        <v>2</v>
      </c>
      <c r="I436">
        <v>2</v>
      </c>
      <c r="J436" t="s">
        <v>1476</v>
      </c>
      <c r="K436" t="s">
        <v>1477</v>
      </c>
      <c r="L436">
        <v>2</v>
      </c>
      <c r="M436" t="s">
        <v>16</v>
      </c>
      <c r="N436">
        <v>1</v>
      </c>
      <c r="O436" t="s">
        <v>10</v>
      </c>
      <c r="P436">
        <v>20</v>
      </c>
      <c r="Q436" s="4">
        <v>45726</v>
      </c>
      <c r="R436" s="4"/>
      <c r="S436" t="str">
        <f>TEXT(Table1[[#This Row],[Hiring Date]],"mmmm")</f>
        <v>March</v>
      </c>
      <c r="T436" s="1">
        <f>COUNTIF(S:S,Table1[[#This Row],[Months List]])</f>
        <v>0</v>
      </c>
      <c r="U436" t="str">
        <f>TEXT(Table1[[#This Row],[Hiring Date]],"dddd")</f>
        <v>Monday</v>
      </c>
      <c r="V436" s="1" t="str">
        <f>TEXT(Table1[[#This Row],[Hiring Date]],"yyyy")</f>
        <v>2025</v>
      </c>
    </row>
    <row r="437" spans="1:22">
      <c r="A437" t="s">
        <v>1392</v>
      </c>
      <c r="B437">
        <v>58</v>
      </c>
      <c r="C437">
        <v>605</v>
      </c>
      <c r="D437" t="s">
        <v>11</v>
      </c>
      <c r="E437" t="s">
        <v>1497</v>
      </c>
      <c r="F437" t="s">
        <v>1499</v>
      </c>
      <c r="G437">
        <v>72</v>
      </c>
      <c r="H437">
        <v>3</v>
      </c>
      <c r="I437">
        <v>4</v>
      </c>
      <c r="J437" t="s">
        <v>1482</v>
      </c>
      <c r="K437" t="s">
        <v>1483</v>
      </c>
      <c r="L437">
        <v>4</v>
      </c>
      <c r="M437" t="s">
        <v>15</v>
      </c>
      <c r="N437">
        <v>4</v>
      </c>
      <c r="O437" t="s">
        <v>10</v>
      </c>
      <c r="P437">
        <v>29</v>
      </c>
      <c r="Q437" s="4">
        <v>45889</v>
      </c>
      <c r="R437" s="4"/>
      <c r="S437" t="str">
        <f>TEXT(Table1[[#This Row],[Hiring Date]],"mmmm")</f>
        <v>August</v>
      </c>
      <c r="T437" s="1">
        <f>COUNTIF(S:S,Table1[[#This Row],[Months List]])</f>
        <v>0</v>
      </c>
      <c r="U437" t="str">
        <f>TEXT(Table1[[#This Row],[Hiring Date]],"dddd")</f>
        <v>Wednesday</v>
      </c>
      <c r="V437" s="1" t="str">
        <f>TEXT(Table1[[#This Row],[Hiring Date]],"yyyy")</f>
        <v>2025</v>
      </c>
    </row>
    <row r="438" spans="1:22">
      <c r="A438" t="s">
        <v>1393</v>
      </c>
      <c r="B438">
        <v>32</v>
      </c>
      <c r="C438">
        <v>238</v>
      </c>
      <c r="D438" t="s">
        <v>14</v>
      </c>
      <c r="E438" t="s">
        <v>1497</v>
      </c>
      <c r="F438" t="s">
        <v>1499</v>
      </c>
      <c r="G438">
        <v>47</v>
      </c>
      <c r="H438">
        <v>4</v>
      </c>
      <c r="I438">
        <v>1</v>
      </c>
      <c r="J438" t="s">
        <v>1476</v>
      </c>
      <c r="K438" t="s">
        <v>1477</v>
      </c>
      <c r="L438">
        <v>3</v>
      </c>
      <c r="M438" t="s">
        <v>12</v>
      </c>
      <c r="N438">
        <v>3</v>
      </c>
      <c r="O438" t="s">
        <v>10</v>
      </c>
      <c r="P438">
        <v>8</v>
      </c>
      <c r="Q438" s="4">
        <v>45952</v>
      </c>
      <c r="R438" s="4"/>
      <c r="S438" t="str">
        <f>TEXT(Table1[[#This Row],[Hiring Date]],"mmmm")</f>
        <v>October</v>
      </c>
      <c r="T438" s="1">
        <f>COUNTIF(S:S,Table1[[#This Row],[Months List]])</f>
        <v>0</v>
      </c>
      <c r="U438" t="str">
        <f>TEXT(Table1[[#This Row],[Hiring Date]],"dddd")</f>
        <v>Wednesday</v>
      </c>
      <c r="V438" s="1" t="str">
        <f>TEXT(Table1[[#This Row],[Hiring Date]],"yyyy")</f>
        <v>2025</v>
      </c>
    </row>
    <row r="439" spans="1:22">
      <c r="A439" t="s">
        <v>1394</v>
      </c>
      <c r="B439">
        <v>38</v>
      </c>
      <c r="C439">
        <v>1206</v>
      </c>
      <c r="D439" t="s">
        <v>14</v>
      </c>
      <c r="E439" t="s">
        <v>1497</v>
      </c>
      <c r="F439" t="s">
        <v>1496</v>
      </c>
      <c r="G439">
        <v>71</v>
      </c>
      <c r="H439">
        <v>3</v>
      </c>
      <c r="I439">
        <v>1</v>
      </c>
      <c r="J439" t="s">
        <v>1476</v>
      </c>
      <c r="K439" t="s">
        <v>1477</v>
      </c>
      <c r="L439">
        <v>4</v>
      </c>
      <c r="M439" t="s">
        <v>16</v>
      </c>
      <c r="N439">
        <v>2</v>
      </c>
      <c r="O439" t="s">
        <v>13</v>
      </c>
      <c r="P439">
        <v>10</v>
      </c>
      <c r="Q439" s="4">
        <v>45992</v>
      </c>
      <c r="R439" s="4"/>
      <c r="S439" t="str">
        <f>TEXT(Table1[[#This Row],[Hiring Date]],"mmmm")</f>
        <v>December</v>
      </c>
      <c r="T439" s="1">
        <f>COUNTIF(S:S,Table1[[#This Row],[Months List]])</f>
        <v>0</v>
      </c>
      <c r="U439" t="str">
        <f>TEXT(Table1[[#This Row],[Hiring Date]],"dddd")</f>
        <v>Monday</v>
      </c>
      <c r="V439" s="1" t="str">
        <f>TEXT(Table1[[#This Row],[Hiring Date]],"yyyy")</f>
        <v>2025</v>
      </c>
    </row>
    <row r="440" spans="1:22">
      <c r="A440" t="s">
        <v>1395</v>
      </c>
      <c r="B440">
        <v>49</v>
      </c>
      <c r="C440">
        <v>1064</v>
      </c>
      <c r="D440" t="s">
        <v>14</v>
      </c>
      <c r="E440" t="s">
        <v>1497</v>
      </c>
      <c r="F440" t="s">
        <v>1496</v>
      </c>
      <c r="G440">
        <v>42</v>
      </c>
      <c r="H440">
        <v>3</v>
      </c>
      <c r="I440">
        <v>5</v>
      </c>
      <c r="J440" t="s">
        <v>1487</v>
      </c>
      <c r="K440" t="s">
        <v>1488</v>
      </c>
      <c r="L440">
        <v>4</v>
      </c>
      <c r="M440" t="s">
        <v>15</v>
      </c>
      <c r="N440">
        <v>3</v>
      </c>
      <c r="O440" t="s">
        <v>13</v>
      </c>
      <c r="P440">
        <v>28</v>
      </c>
      <c r="Q440" s="4">
        <v>45662</v>
      </c>
      <c r="R440" s="4"/>
      <c r="S440" t="str">
        <f>TEXT(Table1[[#This Row],[Hiring Date]],"mmmm")</f>
        <v>January</v>
      </c>
      <c r="T440" s="1">
        <f>COUNTIF(S:S,Table1[[#This Row],[Months List]])</f>
        <v>0</v>
      </c>
      <c r="U440" t="str">
        <f>TEXT(Table1[[#This Row],[Hiring Date]],"dddd")</f>
        <v>Sunday</v>
      </c>
      <c r="V440" s="1" t="str">
        <f>TEXT(Table1[[#This Row],[Hiring Date]],"yyyy")</f>
        <v>2025</v>
      </c>
    </row>
    <row r="441" spans="1:22">
      <c r="A441" t="s">
        <v>1396</v>
      </c>
      <c r="B441">
        <v>42</v>
      </c>
      <c r="C441">
        <v>419</v>
      </c>
      <c r="D441" t="s">
        <v>11</v>
      </c>
      <c r="E441" t="s">
        <v>1498</v>
      </c>
      <c r="F441" t="s">
        <v>1496</v>
      </c>
      <c r="G441">
        <v>77</v>
      </c>
      <c r="H441">
        <v>3</v>
      </c>
      <c r="I441">
        <v>2</v>
      </c>
      <c r="J441" t="s">
        <v>1474</v>
      </c>
      <c r="K441" t="s">
        <v>1475</v>
      </c>
      <c r="L441">
        <v>4</v>
      </c>
      <c r="M441" t="s">
        <v>16</v>
      </c>
      <c r="N441">
        <v>3</v>
      </c>
      <c r="O441" t="s">
        <v>10</v>
      </c>
      <c r="P441">
        <v>14</v>
      </c>
      <c r="Q441" s="4">
        <v>45713</v>
      </c>
      <c r="R441" s="4"/>
      <c r="S441" t="str">
        <f>TEXT(Table1[[#This Row],[Hiring Date]],"mmmm")</f>
        <v>February</v>
      </c>
      <c r="T441" s="1">
        <f>COUNTIF(S:S,Table1[[#This Row],[Months List]])</f>
        <v>0</v>
      </c>
      <c r="U441" t="str">
        <f>TEXT(Table1[[#This Row],[Hiring Date]],"dddd")</f>
        <v>Tuesday</v>
      </c>
      <c r="V441" s="1" t="str">
        <f>TEXT(Table1[[#This Row],[Hiring Date]],"yyyy")</f>
        <v>2025</v>
      </c>
    </row>
    <row r="442" spans="1:22">
      <c r="A442" t="s">
        <v>146</v>
      </c>
      <c r="B442">
        <v>22</v>
      </c>
      <c r="C442">
        <v>594</v>
      </c>
      <c r="D442" t="s">
        <v>14</v>
      </c>
      <c r="E442" t="s">
        <v>1501</v>
      </c>
      <c r="F442" t="s">
        <v>1496</v>
      </c>
      <c r="G442">
        <v>100</v>
      </c>
      <c r="H442">
        <v>3</v>
      </c>
      <c r="I442">
        <v>1</v>
      </c>
      <c r="J442" t="s">
        <v>1484</v>
      </c>
      <c r="K442" t="s">
        <v>1485</v>
      </c>
      <c r="L442">
        <v>4</v>
      </c>
      <c r="M442" t="s">
        <v>15</v>
      </c>
      <c r="N442">
        <v>0</v>
      </c>
      <c r="O442" t="s">
        <v>13</v>
      </c>
      <c r="P442">
        <v>3</v>
      </c>
      <c r="Q442" s="4">
        <v>45976</v>
      </c>
      <c r="R442" s="4"/>
      <c r="S442" t="str">
        <f>TEXT(Table1[[#This Row],[Hiring Date]],"mmmm")</f>
        <v>November</v>
      </c>
      <c r="T442" s="1">
        <f>COUNTIF(S:S,Table1[[#This Row],[Months List]])</f>
        <v>0</v>
      </c>
      <c r="U442" t="str">
        <f>TEXT(Table1[[#This Row],[Hiring Date]],"dddd")</f>
        <v>Saturday</v>
      </c>
      <c r="V442" s="1" t="str">
        <f>TEXT(Table1[[#This Row],[Hiring Date]],"yyyy")</f>
        <v>2025</v>
      </c>
    </row>
    <row r="443" spans="1:22">
      <c r="A443" t="s">
        <v>146</v>
      </c>
      <c r="B443">
        <v>22</v>
      </c>
      <c r="C443">
        <v>594</v>
      </c>
      <c r="D443" t="s">
        <v>14</v>
      </c>
      <c r="E443" t="s">
        <v>1501</v>
      </c>
      <c r="F443" t="s">
        <v>1496</v>
      </c>
      <c r="G443">
        <v>100</v>
      </c>
      <c r="H443">
        <v>3</v>
      </c>
      <c r="I443">
        <v>1</v>
      </c>
      <c r="J443" t="s">
        <v>1484</v>
      </c>
      <c r="K443" t="s">
        <v>1485</v>
      </c>
      <c r="L443">
        <v>4</v>
      </c>
      <c r="M443" t="s">
        <v>15</v>
      </c>
      <c r="N443">
        <v>0</v>
      </c>
      <c r="O443" t="s">
        <v>13</v>
      </c>
      <c r="P443">
        <v>3</v>
      </c>
      <c r="Q443" s="4">
        <v>45667</v>
      </c>
      <c r="R443" s="4"/>
      <c r="S443" t="str">
        <f>TEXT(Table1[[#This Row],[Hiring Date]],"mmmm")</f>
        <v>January</v>
      </c>
      <c r="T443" s="1">
        <f>COUNTIF(S:S,Table1[[#This Row],[Months List]])</f>
        <v>0</v>
      </c>
      <c r="U443" t="str">
        <f>TEXT(Table1[[#This Row],[Hiring Date]],"dddd")</f>
        <v>Friday</v>
      </c>
      <c r="V443" s="1" t="str">
        <f>TEXT(Table1[[#This Row],[Hiring Date]],"yyyy")</f>
        <v>2025</v>
      </c>
    </row>
    <row r="444" spans="1:22">
      <c r="A444" t="s">
        <v>1397</v>
      </c>
      <c r="B444">
        <v>27</v>
      </c>
      <c r="C444">
        <v>1337</v>
      </c>
      <c r="D444" t="s">
        <v>17</v>
      </c>
      <c r="E444" t="s">
        <v>17</v>
      </c>
      <c r="F444" t="s">
        <v>1499</v>
      </c>
      <c r="G444">
        <v>58</v>
      </c>
      <c r="H444">
        <v>2</v>
      </c>
      <c r="I444">
        <v>1</v>
      </c>
      <c r="J444" t="s">
        <v>1486</v>
      </c>
      <c r="K444" t="s">
        <v>17</v>
      </c>
      <c r="L444">
        <v>2</v>
      </c>
      <c r="M444" t="s">
        <v>15</v>
      </c>
      <c r="N444">
        <v>1</v>
      </c>
      <c r="O444" t="s">
        <v>13</v>
      </c>
      <c r="P444">
        <v>1</v>
      </c>
      <c r="Q444" s="4">
        <v>45641</v>
      </c>
      <c r="R444" s="4"/>
      <c r="S444" t="str">
        <f>TEXT(Table1[[#This Row],[Hiring Date]],"mmmm")</f>
        <v>December</v>
      </c>
      <c r="T444" s="1">
        <f>COUNTIF(S:S,Table1[[#This Row],[Months List]])</f>
        <v>0</v>
      </c>
      <c r="U444" t="str">
        <f>TEXT(Table1[[#This Row],[Hiring Date]],"dddd")</f>
        <v>Sunday</v>
      </c>
      <c r="V444" s="1" t="str">
        <f>TEXT(Table1[[#This Row],[Hiring Date]],"yyyy")</f>
        <v>2024</v>
      </c>
    </row>
    <row r="445" spans="1:22">
      <c r="A445" t="s">
        <v>1398</v>
      </c>
      <c r="B445">
        <v>35</v>
      </c>
      <c r="C445">
        <v>682</v>
      </c>
      <c r="D445" t="s">
        <v>11</v>
      </c>
      <c r="E445" t="s">
        <v>1495</v>
      </c>
      <c r="F445" t="s">
        <v>1496</v>
      </c>
      <c r="G445">
        <v>71</v>
      </c>
      <c r="H445">
        <v>3</v>
      </c>
      <c r="I445">
        <v>2</v>
      </c>
      <c r="J445" t="s">
        <v>1474</v>
      </c>
      <c r="K445" t="s">
        <v>1475</v>
      </c>
      <c r="L445">
        <v>1</v>
      </c>
      <c r="M445" t="s">
        <v>15</v>
      </c>
      <c r="N445">
        <v>0</v>
      </c>
      <c r="O445" t="s">
        <v>13</v>
      </c>
      <c r="P445">
        <v>6</v>
      </c>
      <c r="Q445" s="4">
        <v>45720</v>
      </c>
      <c r="R445" s="4"/>
      <c r="S445" t="str">
        <f>TEXT(Table1[[#This Row],[Hiring Date]],"mmmm")</f>
        <v>March</v>
      </c>
      <c r="T445" s="1">
        <f>COUNTIF(S:S,Table1[[#This Row],[Months List]])</f>
        <v>0</v>
      </c>
      <c r="U445" t="str">
        <f>TEXT(Table1[[#This Row],[Hiring Date]],"dddd")</f>
        <v>Tuesday</v>
      </c>
      <c r="V445" s="1" t="str">
        <f>TEXT(Table1[[#This Row],[Hiring Date]],"yyyy")</f>
        <v>2025</v>
      </c>
    </row>
    <row r="446" spans="1:22">
      <c r="A446" t="s">
        <v>1399</v>
      </c>
      <c r="B446">
        <v>28</v>
      </c>
      <c r="C446">
        <v>1103</v>
      </c>
      <c r="D446" t="s">
        <v>14</v>
      </c>
      <c r="E446" t="s">
        <v>1495</v>
      </c>
      <c r="F446" t="s">
        <v>1496</v>
      </c>
      <c r="G446">
        <v>49</v>
      </c>
      <c r="H446">
        <v>3</v>
      </c>
      <c r="I446">
        <v>1</v>
      </c>
      <c r="J446" t="s">
        <v>1476</v>
      </c>
      <c r="K446" t="s">
        <v>1477</v>
      </c>
      <c r="L446">
        <v>3</v>
      </c>
      <c r="M446" t="s">
        <v>12</v>
      </c>
      <c r="N446">
        <v>1</v>
      </c>
      <c r="O446" t="s">
        <v>13</v>
      </c>
      <c r="P446">
        <v>5</v>
      </c>
      <c r="Q446" s="4">
        <v>45868</v>
      </c>
      <c r="R446" s="4"/>
      <c r="S446" t="str">
        <f>TEXT(Table1[[#This Row],[Hiring Date]],"mmmm")</f>
        <v>July</v>
      </c>
      <c r="T446" s="1">
        <f>COUNTIF(S:S,Table1[[#This Row],[Months List]])</f>
        <v>0</v>
      </c>
      <c r="U446" t="str">
        <f>TEXT(Table1[[#This Row],[Hiring Date]],"dddd")</f>
        <v>Wednesday</v>
      </c>
      <c r="V446" s="1" t="str">
        <f>TEXT(Table1[[#This Row],[Hiring Date]],"yyyy")</f>
        <v>2025</v>
      </c>
    </row>
    <row r="447" spans="1:22">
      <c r="A447" t="s">
        <v>1400</v>
      </c>
      <c r="B447">
        <v>31</v>
      </c>
      <c r="C447">
        <v>976</v>
      </c>
      <c r="D447" t="s">
        <v>14</v>
      </c>
      <c r="E447" t="s">
        <v>1495</v>
      </c>
      <c r="F447" t="s">
        <v>1496</v>
      </c>
      <c r="G447">
        <v>48</v>
      </c>
      <c r="H447">
        <v>3</v>
      </c>
      <c r="I447">
        <v>1</v>
      </c>
      <c r="J447" t="s">
        <v>1476</v>
      </c>
      <c r="K447" t="s">
        <v>1477</v>
      </c>
      <c r="L447">
        <v>1</v>
      </c>
      <c r="M447" t="s">
        <v>16</v>
      </c>
      <c r="N447">
        <v>1</v>
      </c>
      <c r="O447" t="s">
        <v>10</v>
      </c>
      <c r="P447">
        <v>4</v>
      </c>
      <c r="Q447" s="4">
        <v>45884</v>
      </c>
      <c r="R447" s="4"/>
      <c r="S447" t="str">
        <f>TEXT(Table1[[#This Row],[Hiring Date]],"mmmm")</f>
        <v>August</v>
      </c>
      <c r="T447" s="1">
        <f>COUNTIF(S:S,Table1[[#This Row],[Months List]])</f>
        <v>0</v>
      </c>
      <c r="U447" t="str">
        <f>TEXT(Table1[[#This Row],[Hiring Date]],"dddd")</f>
        <v>Friday</v>
      </c>
      <c r="V447" s="1" t="str">
        <f>TEXT(Table1[[#This Row],[Hiring Date]],"yyyy")</f>
        <v>2025</v>
      </c>
    </row>
    <row r="448" spans="1:22">
      <c r="A448" t="s">
        <v>1401</v>
      </c>
      <c r="B448">
        <v>36</v>
      </c>
      <c r="C448">
        <v>1351</v>
      </c>
      <c r="D448" t="s">
        <v>14</v>
      </c>
      <c r="E448" t="s">
        <v>1497</v>
      </c>
      <c r="F448" t="s">
        <v>1496</v>
      </c>
      <c r="G448">
        <v>66</v>
      </c>
      <c r="H448">
        <v>4</v>
      </c>
      <c r="I448">
        <v>1</v>
      </c>
      <c r="J448" t="s">
        <v>1484</v>
      </c>
      <c r="K448" t="s">
        <v>1485</v>
      </c>
      <c r="L448">
        <v>2</v>
      </c>
      <c r="M448" t="s">
        <v>15</v>
      </c>
      <c r="N448">
        <v>1</v>
      </c>
      <c r="O448" t="s">
        <v>13</v>
      </c>
      <c r="P448">
        <v>5</v>
      </c>
      <c r="Q448" s="4">
        <v>45771</v>
      </c>
      <c r="R448" s="4"/>
      <c r="S448" t="str">
        <f>TEXT(Table1[[#This Row],[Hiring Date]],"mmmm")</f>
        <v>April</v>
      </c>
      <c r="T448" s="1">
        <f>COUNTIF(S:S,Table1[[#This Row],[Months List]])</f>
        <v>0</v>
      </c>
      <c r="U448" t="str">
        <f>TEXT(Table1[[#This Row],[Hiring Date]],"dddd")</f>
        <v>Thursday</v>
      </c>
      <c r="V448" s="1" t="str">
        <f>TEXT(Table1[[#This Row],[Hiring Date]],"yyyy")</f>
        <v>2025</v>
      </c>
    </row>
    <row r="449" spans="1:22">
      <c r="A449" t="s">
        <v>1402</v>
      </c>
      <c r="B449">
        <v>34</v>
      </c>
      <c r="C449">
        <v>937</v>
      </c>
      <c r="D449" t="s">
        <v>11</v>
      </c>
      <c r="E449" t="s">
        <v>1498</v>
      </c>
      <c r="F449" t="s">
        <v>1496</v>
      </c>
      <c r="G449">
        <v>32</v>
      </c>
      <c r="H449">
        <v>3</v>
      </c>
      <c r="I449">
        <v>3</v>
      </c>
      <c r="J449" t="s">
        <v>1474</v>
      </c>
      <c r="K449" t="s">
        <v>1475</v>
      </c>
      <c r="L449">
        <v>4</v>
      </c>
      <c r="M449" t="s">
        <v>12</v>
      </c>
      <c r="N449">
        <v>1</v>
      </c>
      <c r="O449" t="s">
        <v>13</v>
      </c>
      <c r="P449">
        <v>14</v>
      </c>
      <c r="Q449" s="4">
        <v>45852</v>
      </c>
      <c r="R449" s="4"/>
      <c r="S449" t="str">
        <f>TEXT(Table1[[#This Row],[Hiring Date]],"mmmm")</f>
        <v>July</v>
      </c>
      <c r="T449" s="1">
        <f>COUNTIF(S:S,Table1[[#This Row],[Months List]])</f>
        <v>0</v>
      </c>
      <c r="U449" t="str">
        <f>TEXT(Table1[[#This Row],[Hiring Date]],"dddd")</f>
        <v>Monday</v>
      </c>
      <c r="V449" s="1" t="str">
        <f>TEXT(Table1[[#This Row],[Hiring Date]],"yyyy")</f>
        <v>2025</v>
      </c>
    </row>
    <row r="450" spans="1:22">
      <c r="A450" t="s">
        <v>1403</v>
      </c>
      <c r="B450">
        <v>34</v>
      </c>
      <c r="C450">
        <v>1239</v>
      </c>
      <c r="D450" t="s">
        <v>11</v>
      </c>
      <c r="E450" t="s">
        <v>1495</v>
      </c>
      <c r="F450" t="s">
        <v>1496</v>
      </c>
      <c r="G450">
        <v>39</v>
      </c>
      <c r="H450">
        <v>3</v>
      </c>
      <c r="I450">
        <v>3</v>
      </c>
      <c r="J450" t="s">
        <v>1474</v>
      </c>
      <c r="K450" t="s">
        <v>1475</v>
      </c>
      <c r="L450">
        <v>3</v>
      </c>
      <c r="M450" t="s">
        <v>16</v>
      </c>
      <c r="N450">
        <v>1</v>
      </c>
      <c r="O450" t="s">
        <v>13</v>
      </c>
      <c r="P450">
        <v>9</v>
      </c>
      <c r="Q450" s="4">
        <v>45711</v>
      </c>
      <c r="R450" s="4"/>
      <c r="S450" t="str">
        <f>TEXT(Table1[[#This Row],[Hiring Date]],"mmmm")</f>
        <v>February</v>
      </c>
      <c r="T450" s="1">
        <f>COUNTIF(S:S,Table1[[#This Row],[Months List]])</f>
        <v>0</v>
      </c>
      <c r="U450" t="str">
        <f>TEXT(Table1[[#This Row],[Hiring Date]],"dddd")</f>
        <v>Sunday</v>
      </c>
      <c r="V450" s="1" t="str">
        <f>TEXT(Table1[[#This Row],[Hiring Date]],"yyyy")</f>
        <v>2025</v>
      </c>
    </row>
    <row r="451" spans="1:22">
      <c r="A451" t="s">
        <v>1404</v>
      </c>
      <c r="B451">
        <v>26</v>
      </c>
      <c r="C451">
        <v>157</v>
      </c>
      <c r="D451" t="s">
        <v>14</v>
      </c>
      <c r="E451" t="s">
        <v>1495</v>
      </c>
      <c r="F451" t="s">
        <v>1496</v>
      </c>
      <c r="G451">
        <v>95</v>
      </c>
      <c r="H451">
        <v>3</v>
      </c>
      <c r="I451">
        <v>1</v>
      </c>
      <c r="J451" t="s">
        <v>1484</v>
      </c>
      <c r="K451" t="s">
        <v>1485</v>
      </c>
      <c r="L451">
        <v>1</v>
      </c>
      <c r="M451" t="s">
        <v>12</v>
      </c>
      <c r="N451">
        <v>0</v>
      </c>
      <c r="O451" t="s">
        <v>13</v>
      </c>
      <c r="P451">
        <v>8</v>
      </c>
      <c r="Q451" s="4">
        <v>45944</v>
      </c>
      <c r="R451" s="4"/>
      <c r="S451" t="str">
        <f>TEXT(Table1[[#This Row],[Hiring Date]],"mmmm")</f>
        <v>October</v>
      </c>
      <c r="T451" s="1">
        <f>COUNTIF(S:S,Table1[[#This Row],[Months List]])</f>
        <v>0</v>
      </c>
      <c r="U451" t="str">
        <f>TEXT(Table1[[#This Row],[Hiring Date]],"dddd")</f>
        <v>Tuesday</v>
      </c>
      <c r="V451" s="1" t="str">
        <f>TEXT(Table1[[#This Row],[Hiring Date]],"yyyy")</f>
        <v>2025</v>
      </c>
    </row>
    <row r="452" spans="1:22">
      <c r="A452" t="s">
        <v>1405</v>
      </c>
      <c r="B452">
        <v>29</v>
      </c>
      <c r="C452">
        <v>136</v>
      </c>
      <c r="D452" t="s">
        <v>14</v>
      </c>
      <c r="E452" t="s">
        <v>1497</v>
      </c>
      <c r="F452" t="s">
        <v>1496</v>
      </c>
      <c r="G452">
        <v>89</v>
      </c>
      <c r="H452">
        <v>3</v>
      </c>
      <c r="I452">
        <v>2</v>
      </c>
      <c r="J452" t="s">
        <v>1478</v>
      </c>
      <c r="K452" t="s">
        <v>1479</v>
      </c>
      <c r="L452">
        <v>1</v>
      </c>
      <c r="M452" t="s">
        <v>15</v>
      </c>
      <c r="N452">
        <v>0</v>
      </c>
      <c r="O452" t="s">
        <v>13</v>
      </c>
      <c r="P452">
        <v>6</v>
      </c>
      <c r="Q452" s="4">
        <v>45996</v>
      </c>
      <c r="R452" s="4"/>
      <c r="S452" t="str">
        <f>TEXT(Table1[[#This Row],[Hiring Date]],"mmmm")</f>
        <v>December</v>
      </c>
      <c r="T452" s="1">
        <f>COUNTIF(S:S,Table1[[#This Row],[Months List]])</f>
        <v>0</v>
      </c>
      <c r="U452" t="str">
        <f>TEXT(Table1[[#This Row],[Hiring Date]],"dddd")</f>
        <v>Friday</v>
      </c>
      <c r="V452" s="1" t="str">
        <f>TEXT(Table1[[#This Row],[Hiring Date]],"yyyy")</f>
        <v>2025</v>
      </c>
    </row>
    <row r="453" spans="1:22">
      <c r="A453" t="s">
        <v>1406</v>
      </c>
      <c r="B453">
        <v>32</v>
      </c>
      <c r="C453">
        <v>1146</v>
      </c>
      <c r="D453" t="s">
        <v>14</v>
      </c>
      <c r="E453" t="s">
        <v>1495</v>
      </c>
      <c r="F453" t="s">
        <v>1499</v>
      </c>
      <c r="G453">
        <v>34</v>
      </c>
      <c r="H453">
        <v>3</v>
      </c>
      <c r="I453">
        <v>2</v>
      </c>
      <c r="J453" t="s">
        <v>1478</v>
      </c>
      <c r="K453" t="s">
        <v>1479</v>
      </c>
      <c r="L453">
        <v>4</v>
      </c>
      <c r="M453" t="s">
        <v>16</v>
      </c>
      <c r="N453">
        <v>5</v>
      </c>
      <c r="O453" t="s">
        <v>13</v>
      </c>
      <c r="P453">
        <v>9</v>
      </c>
      <c r="Q453" s="4">
        <v>45682</v>
      </c>
      <c r="R453" s="4"/>
      <c r="S453" t="str">
        <f>TEXT(Table1[[#This Row],[Hiring Date]],"mmmm")</f>
        <v>January</v>
      </c>
      <c r="T453" s="1">
        <f>COUNTIF(S:S,Table1[[#This Row],[Months List]])</f>
        <v>0</v>
      </c>
      <c r="U453" t="str">
        <f>TEXT(Table1[[#This Row],[Hiring Date]],"dddd")</f>
        <v>Saturday</v>
      </c>
      <c r="V453" s="1" t="str">
        <f>TEXT(Table1[[#This Row],[Hiring Date]],"yyyy")</f>
        <v>2025</v>
      </c>
    </row>
    <row r="454" spans="1:22">
      <c r="A454" t="s">
        <v>21</v>
      </c>
      <c r="B454">
        <v>33</v>
      </c>
      <c r="C454">
        <v>1392</v>
      </c>
      <c r="D454" t="s">
        <v>14</v>
      </c>
      <c r="E454" t="s">
        <v>1497</v>
      </c>
      <c r="F454" t="s">
        <v>1499</v>
      </c>
      <c r="G454">
        <v>56</v>
      </c>
      <c r="H454">
        <v>3</v>
      </c>
      <c r="I454">
        <v>1</v>
      </c>
      <c r="J454" t="s">
        <v>1476</v>
      </c>
      <c r="K454" t="s">
        <v>1477</v>
      </c>
      <c r="L454">
        <v>3</v>
      </c>
      <c r="M454" t="s">
        <v>15</v>
      </c>
      <c r="N454">
        <v>1</v>
      </c>
      <c r="O454" t="s">
        <v>10</v>
      </c>
      <c r="P454">
        <v>8</v>
      </c>
      <c r="Q454" s="4">
        <v>45869</v>
      </c>
      <c r="R454" s="4"/>
      <c r="S454" t="str">
        <f>TEXT(Table1[[#This Row],[Hiring Date]],"mmmm")</f>
        <v>July</v>
      </c>
      <c r="T454" s="1">
        <f>COUNTIF(S:S,Table1[[#This Row],[Months List]])</f>
        <v>0</v>
      </c>
      <c r="U454" t="str">
        <f>TEXT(Table1[[#This Row],[Hiring Date]],"dddd")</f>
        <v>Thursday</v>
      </c>
      <c r="V454" s="1" t="str">
        <f>TEXT(Table1[[#This Row],[Hiring Date]],"yyyy")</f>
        <v>2025</v>
      </c>
    </row>
    <row r="455" spans="1:22">
      <c r="A455" t="s">
        <v>147</v>
      </c>
      <c r="B455">
        <v>49</v>
      </c>
      <c r="C455">
        <v>470</v>
      </c>
      <c r="D455" t="s">
        <v>14</v>
      </c>
      <c r="E455" t="s">
        <v>1495</v>
      </c>
      <c r="F455" t="s">
        <v>1499</v>
      </c>
      <c r="G455">
        <v>96</v>
      </c>
      <c r="H455">
        <v>3</v>
      </c>
      <c r="I455">
        <v>2</v>
      </c>
      <c r="J455" t="s">
        <v>1480</v>
      </c>
      <c r="K455" t="s">
        <v>1481</v>
      </c>
      <c r="L455">
        <v>1</v>
      </c>
      <c r="M455" t="s">
        <v>15</v>
      </c>
      <c r="N455">
        <v>1</v>
      </c>
      <c r="O455" t="s">
        <v>13</v>
      </c>
      <c r="P455">
        <v>16</v>
      </c>
      <c r="Q455" s="4">
        <v>45775</v>
      </c>
      <c r="R455" s="4"/>
      <c r="S455" t="str">
        <f>TEXT(Table1[[#This Row],[Hiring Date]],"mmmm")</f>
        <v>April</v>
      </c>
      <c r="T455" s="1">
        <f>COUNTIF(S:S,Table1[[#This Row],[Months List]])</f>
        <v>0</v>
      </c>
      <c r="U455" t="str">
        <f>TEXT(Table1[[#This Row],[Hiring Date]],"dddd")</f>
        <v>Monday</v>
      </c>
      <c r="V455" s="1" t="str">
        <f>TEXT(Table1[[#This Row],[Hiring Date]],"yyyy")</f>
        <v>2025</v>
      </c>
    </row>
    <row r="456" spans="1:22">
      <c r="A456" t="s">
        <v>147</v>
      </c>
      <c r="B456">
        <v>49</v>
      </c>
      <c r="C456">
        <v>470</v>
      </c>
      <c r="D456" t="s">
        <v>14</v>
      </c>
      <c r="E456" t="s">
        <v>1495</v>
      </c>
      <c r="F456" t="s">
        <v>1499</v>
      </c>
      <c r="G456">
        <v>96</v>
      </c>
      <c r="H456">
        <v>3</v>
      </c>
      <c r="I456">
        <v>2</v>
      </c>
      <c r="J456" t="s">
        <v>1480</v>
      </c>
      <c r="K456" t="s">
        <v>1481</v>
      </c>
      <c r="L456">
        <v>1</v>
      </c>
      <c r="M456" t="s">
        <v>15</v>
      </c>
      <c r="N456">
        <v>1</v>
      </c>
      <c r="O456" t="s">
        <v>13</v>
      </c>
      <c r="P456">
        <v>16</v>
      </c>
      <c r="Q456" s="4">
        <v>45868</v>
      </c>
      <c r="R456" s="4"/>
      <c r="S456" t="str">
        <f>TEXT(Table1[[#This Row],[Hiring Date]],"mmmm")</f>
        <v>July</v>
      </c>
      <c r="T456" s="1">
        <f>COUNTIF(S:S,Table1[[#This Row],[Months List]])</f>
        <v>0</v>
      </c>
      <c r="U456" t="str">
        <f>TEXT(Table1[[#This Row],[Hiring Date]],"dddd")</f>
        <v>Wednesday</v>
      </c>
      <c r="V456" s="1" t="str">
        <f>TEXT(Table1[[#This Row],[Hiring Date]],"yyyy")</f>
        <v>2025</v>
      </c>
    </row>
    <row r="457" spans="1:22">
      <c r="A457" t="s">
        <v>1407</v>
      </c>
      <c r="B457">
        <v>31</v>
      </c>
      <c r="C457">
        <v>1125</v>
      </c>
      <c r="D457" t="s">
        <v>14</v>
      </c>
      <c r="E457" t="s">
        <v>1497</v>
      </c>
      <c r="F457" t="s">
        <v>1496</v>
      </c>
      <c r="G457">
        <v>48</v>
      </c>
      <c r="H457">
        <v>1</v>
      </c>
      <c r="I457">
        <v>2</v>
      </c>
      <c r="J457" t="s">
        <v>1476</v>
      </c>
      <c r="K457" t="s">
        <v>1477</v>
      </c>
      <c r="L457">
        <v>1</v>
      </c>
      <c r="M457" t="s">
        <v>15</v>
      </c>
      <c r="N457">
        <v>1</v>
      </c>
      <c r="O457" t="s">
        <v>13</v>
      </c>
      <c r="P457">
        <v>10</v>
      </c>
      <c r="Q457" s="4">
        <v>45991</v>
      </c>
      <c r="R457" s="4"/>
      <c r="S457" t="str">
        <f>TEXT(Table1[[#This Row],[Hiring Date]],"mmmm")</f>
        <v>November</v>
      </c>
      <c r="T457" s="1">
        <f>COUNTIF(S:S,Table1[[#This Row],[Months List]])</f>
        <v>0</v>
      </c>
      <c r="U457" t="str">
        <f>TEXT(Table1[[#This Row],[Hiring Date]],"dddd")</f>
        <v>Sunday</v>
      </c>
      <c r="V457" s="1" t="str">
        <f>TEXT(Table1[[#This Row],[Hiring Date]],"yyyy")</f>
        <v>2025</v>
      </c>
    </row>
    <row r="458" spans="1:22">
      <c r="A458" t="s">
        <v>1408</v>
      </c>
      <c r="B458">
        <v>28</v>
      </c>
      <c r="C458">
        <v>1404</v>
      </c>
      <c r="D458" t="s">
        <v>14</v>
      </c>
      <c r="E458" t="s">
        <v>1501</v>
      </c>
      <c r="F458" t="s">
        <v>1496</v>
      </c>
      <c r="G458">
        <v>32</v>
      </c>
      <c r="H458">
        <v>2</v>
      </c>
      <c r="I458">
        <v>1</v>
      </c>
      <c r="J458" t="s">
        <v>1484</v>
      </c>
      <c r="K458" t="s">
        <v>1485</v>
      </c>
      <c r="L458">
        <v>4</v>
      </c>
      <c r="M458" t="s">
        <v>16</v>
      </c>
      <c r="N458">
        <v>5</v>
      </c>
      <c r="O458" t="s">
        <v>13</v>
      </c>
      <c r="P458">
        <v>6</v>
      </c>
      <c r="Q458" s="4">
        <v>45784</v>
      </c>
      <c r="R458" s="4"/>
      <c r="S458" t="str">
        <f>TEXT(Table1[[#This Row],[Hiring Date]],"mmmm")</f>
        <v>May</v>
      </c>
      <c r="T458" s="1">
        <f>COUNTIF(S:S,Table1[[#This Row],[Months List]])</f>
        <v>0</v>
      </c>
      <c r="U458" t="str">
        <f>TEXT(Table1[[#This Row],[Hiring Date]],"dddd")</f>
        <v>Wednesday</v>
      </c>
      <c r="V458" s="1" t="str">
        <f>TEXT(Table1[[#This Row],[Hiring Date]],"yyyy")</f>
        <v>2025</v>
      </c>
    </row>
    <row r="459" spans="1:22">
      <c r="A459" t="s">
        <v>1409</v>
      </c>
      <c r="B459">
        <v>38</v>
      </c>
      <c r="C459">
        <v>1404</v>
      </c>
      <c r="D459" t="s">
        <v>11</v>
      </c>
      <c r="E459" t="s">
        <v>1497</v>
      </c>
      <c r="F459" t="s">
        <v>1496</v>
      </c>
      <c r="G459">
        <v>59</v>
      </c>
      <c r="H459">
        <v>2</v>
      </c>
      <c r="I459">
        <v>1</v>
      </c>
      <c r="J459" t="s">
        <v>1489</v>
      </c>
      <c r="K459" t="s">
        <v>1490</v>
      </c>
      <c r="L459">
        <v>1</v>
      </c>
      <c r="M459" t="s">
        <v>12</v>
      </c>
      <c r="N459">
        <v>4</v>
      </c>
      <c r="O459" t="s">
        <v>13</v>
      </c>
      <c r="P459">
        <v>20</v>
      </c>
      <c r="Q459" s="4">
        <v>45721</v>
      </c>
      <c r="R459" s="4"/>
      <c r="S459" t="str">
        <f>TEXT(Table1[[#This Row],[Hiring Date]],"mmmm")</f>
        <v>March</v>
      </c>
      <c r="T459" s="1">
        <f>COUNTIF(S:S,Table1[[#This Row],[Months List]])</f>
        <v>0</v>
      </c>
      <c r="U459" t="str">
        <f>TEXT(Table1[[#This Row],[Hiring Date]],"dddd")</f>
        <v>Wednesday</v>
      </c>
      <c r="V459" s="1" t="str">
        <f>TEXT(Table1[[#This Row],[Hiring Date]],"yyyy")</f>
        <v>2025</v>
      </c>
    </row>
    <row r="460" spans="1:22">
      <c r="A460" t="s">
        <v>1410</v>
      </c>
      <c r="B460">
        <v>35</v>
      </c>
      <c r="C460">
        <v>1224</v>
      </c>
      <c r="D460" t="s">
        <v>11</v>
      </c>
      <c r="E460" t="s">
        <v>1497</v>
      </c>
      <c r="F460" t="s">
        <v>1499</v>
      </c>
      <c r="G460">
        <v>55</v>
      </c>
      <c r="H460">
        <v>3</v>
      </c>
      <c r="I460">
        <v>2</v>
      </c>
      <c r="J460" t="s">
        <v>1474</v>
      </c>
      <c r="K460" t="s">
        <v>1475</v>
      </c>
      <c r="L460">
        <v>4</v>
      </c>
      <c r="M460" t="s">
        <v>15</v>
      </c>
      <c r="N460">
        <v>1</v>
      </c>
      <c r="O460" t="s">
        <v>10</v>
      </c>
      <c r="P460">
        <v>10</v>
      </c>
      <c r="Q460" s="4">
        <v>45872</v>
      </c>
      <c r="R460" s="4"/>
      <c r="S460" t="str">
        <f>TEXT(Table1[[#This Row],[Hiring Date]],"mmmm")</f>
        <v>August</v>
      </c>
      <c r="T460" s="1">
        <f>COUNTIF(S:S,Table1[[#This Row],[Months List]])</f>
        <v>0</v>
      </c>
      <c r="U460" t="str">
        <f>TEXT(Table1[[#This Row],[Hiring Date]],"dddd")</f>
        <v>Sunday</v>
      </c>
      <c r="V460" s="1" t="str">
        <f>TEXT(Table1[[#This Row],[Hiring Date]],"yyyy")</f>
        <v>2025</v>
      </c>
    </row>
    <row r="461" spans="1:22">
      <c r="A461" t="s">
        <v>1411</v>
      </c>
      <c r="B461">
        <v>27</v>
      </c>
      <c r="C461">
        <v>954</v>
      </c>
      <c r="D461" t="s">
        <v>11</v>
      </c>
      <c r="E461" t="s">
        <v>1498</v>
      </c>
      <c r="F461" t="s">
        <v>1496</v>
      </c>
      <c r="G461">
        <v>44</v>
      </c>
      <c r="H461">
        <v>3</v>
      </c>
      <c r="I461">
        <v>2</v>
      </c>
      <c r="J461" t="s">
        <v>1474</v>
      </c>
      <c r="K461" t="s">
        <v>1475</v>
      </c>
      <c r="L461">
        <v>4</v>
      </c>
      <c r="M461" t="s">
        <v>12</v>
      </c>
      <c r="N461">
        <v>1</v>
      </c>
      <c r="O461" t="s">
        <v>13</v>
      </c>
      <c r="P461">
        <v>7</v>
      </c>
      <c r="Q461" s="4">
        <v>45862</v>
      </c>
      <c r="R461" s="4"/>
      <c r="S461" t="str">
        <f>TEXT(Table1[[#This Row],[Hiring Date]],"mmmm")</f>
        <v>July</v>
      </c>
      <c r="T461" s="1">
        <f>COUNTIF(S:S,Table1[[#This Row],[Months List]])</f>
        <v>0</v>
      </c>
      <c r="U461" t="str">
        <f>TEXT(Table1[[#This Row],[Hiring Date]],"dddd")</f>
        <v>Thursday</v>
      </c>
      <c r="V461" s="1" t="str">
        <f>TEXT(Table1[[#This Row],[Hiring Date]],"yyyy")</f>
        <v>2025</v>
      </c>
    </row>
    <row r="462" spans="1:22">
      <c r="A462" t="s">
        <v>1412</v>
      </c>
      <c r="B462">
        <v>32</v>
      </c>
      <c r="C462">
        <v>1373</v>
      </c>
      <c r="D462" t="s">
        <v>14</v>
      </c>
      <c r="E462" t="s">
        <v>1497</v>
      </c>
      <c r="F462" t="s">
        <v>1496</v>
      </c>
      <c r="G462">
        <v>56</v>
      </c>
      <c r="H462">
        <v>2</v>
      </c>
      <c r="I462">
        <v>2</v>
      </c>
      <c r="J462" t="s">
        <v>1480</v>
      </c>
      <c r="K462" t="s">
        <v>1481</v>
      </c>
      <c r="L462">
        <v>4</v>
      </c>
      <c r="M462" t="s">
        <v>12</v>
      </c>
      <c r="N462">
        <v>8</v>
      </c>
      <c r="O462" t="s">
        <v>13</v>
      </c>
      <c r="P462">
        <v>8</v>
      </c>
      <c r="Q462" s="4">
        <v>45642</v>
      </c>
      <c r="R462" s="4"/>
      <c r="S462" t="str">
        <f>TEXT(Table1[[#This Row],[Hiring Date]],"mmmm")</f>
        <v>December</v>
      </c>
      <c r="T462" s="1">
        <f>COUNTIF(S:S,Table1[[#This Row],[Months List]])</f>
        <v>0</v>
      </c>
      <c r="U462" t="str">
        <f>TEXT(Table1[[#This Row],[Hiring Date]],"dddd")</f>
        <v>Monday</v>
      </c>
      <c r="V462" s="1" t="str">
        <f>TEXT(Table1[[#This Row],[Hiring Date]],"yyyy")</f>
        <v>2024</v>
      </c>
    </row>
    <row r="463" spans="1:22">
      <c r="A463" t="s">
        <v>1413</v>
      </c>
      <c r="B463">
        <v>31</v>
      </c>
      <c r="C463">
        <v>754</v>
      </c>
      <c r="D463" t="s">
        <v>11</v>
      </c>
      <c r="E463" t="s">
        <v>1498</v>
      </c>
      <c r="F463" t="s">
        <v>1496</v>
      </c>
      <c r="G463">
        <v>63</v>
      </c>
      <c r="H463">
        <v>3</v>
      </c>
      <c r="I463">
        <v>2</v>
      </c>
      <c r="J463" t="s">
        <v>1474</v>
      </c>
      <c r="K463" t="s">
        <v>1475</v>
      </c>
      <c r="L463">
        <v>4</v>
      </c>
      <c r="M463" t="s">
        <v>15</v>
      </c>
      <c r="N463">
        <v>1</v>
      </c>
      <c r="O463" t="s">
        <v>10</v>
      </c>
      <c r="P463">
        <v>10</v>
      </c>
      <c r="Q463" s="4">
        <v>45700</v>
      </c>
      <c r="R463" s="4"/>
      <c r="S463" t="str">
        <f>TEXT(Table1[[#This Row],[Hiring Date]],"mmmm")</f>
        <v>February</v>
      </c>
      <c r="T463" s="1">
        <f>COUNTIF(S:S,Table1[[#This Row],[Months List]])</f>
        <v>0</v>
      </c>
      <c r="U463" t="str">
        <f>TEXT(Table1[[#This Row],[Hiring Date]],"dddd")</f>
        <v>Wednesday</v>
      </c>
      <c r="V463" s="1" t="str">
        <f>TEXT(Table1[[#This Row],[Hiring Date]],"yyyy")</f>
        <v>2025</v>
      </c>
    </row>
    <row r="464" spans="1:22">
      <c r="A464" t="s">
        <v>1414</v>
      </c>
      <c r="B464">
        <v>53</v>
      </c>
      <c r="C464">
        <v>1168</v>
      </c>
      <c r="D464" t="s">
        <v>11</v>
      </c>
      <c r="E464" t="s">
        <v>1497</v>
      </c>
      <c r="F464" t="s">
        <v>1496</v>
      </c>
      <c r="G464">
        <v>66</v>
      </c>
      <c r="H464">
        <v>3</v>
      </c>
      <c r="I464">
        <v>3</v>
      </c>
      <c r="J464" t="s">
        <v>1474</v>
      </c>
      <c r="K464" t="s">
        <v>1475</v>
      </c>
      <c r="L464">
        <v>1</v>
      </c>
      <c r="M464" t="s">
        <v>12</v>
      </c>
      <c r="N464">
        <v>6</v>
      </c>
      <c r="O464" t="s">
        <v>10</v>
      </c>
      <c r="P464">
        <v>15</v>
      </c>
      <c r="Q464" s="4">
        <v>45726</v>
      </c>
      <c r="R464" s="4"/>
      <c r="S464" t="str">
        <f>TEXT(Table1[[#This Row],[Hiring Date]],"mmmm")</f>
        <v>March</v>
      </c>
      <c r="T464" s="1">
        <f>COUNTIF(S:S,Table1[[#This Row],[Months List]])</f>
        <v>0</v>
      </c>
      <c r="U464" t="str">
        <f>TEXT(Table1[[#This Row],[Hiring Date]],"dddd")</f>
        <v>Monday</v>
      </c>
      <c r="V464" s="1" t="str">
        <f>TEXT(Table1[[#This Row],[Hiring Date]],"yyyy")</f>
        <v>2025</v>
      </c>
    </row>
    <row r="465" spans="1:22">
      <c r="A465" t="s">
        <v>1415</v>
      </c>
      <c r="B465">
        <v>54</v>
      </c>
      <c r="C465">
        <v>155</v>
      </c>
      <c r="D465" t="s">
        <v>14</v>
      </c>
      <c r="E465" t="s">
        <v>1497</v>
      </c>
      <c r="F465" t="s">
        <v>1499</v>
      </c>
      <c r="G465">
        <v>67</v>
      </c>
      <c r="H465">
        <v>3</v>
      </c>
      <c r="I465">
        <v>2</v>
      </c>
      <c r="J465" t="s">
        <v>1476</v>
      </c>
      <c r="K465" t="s">
        <v>1477</v>
      </c>
      <c r="L465">
        <v>3</v>
      </c>
      <c r="M465" t="s">
        <v>15</v>
      </c>
      <c r="N465">
        <v>3</v>
      </c>
      <c r="O465" t="s">
        <v>13</v>
      </c>
      <c r="P465">
        <v>9</v>
      </c>
      <c r="Q465" s="4">
        <v>45888</v>
      </c>
      <c r="R465" s="4"/>
      <c r="S465" t="str">
        <f>TEXT(Table1[[#This Row],[Hiring Date]],"mmmm")</f>
        <v>August</v>
      </c>
      <c r="T465" s="1">
        <f>COUNTIF(S:S,Table1[[#This Row],[Months List]])</f>
        <v>0</v>
      </c>
      <c r="U465" t="str">
        <f>TEXT(Table1[[#This Row],[Hiring Date]],"dddd")</f>
        <v>Tuesday</v>
      </c>
      <c r="V465" s="1" t="str">
        <f>TEXT(Table1[[#This Row],[Hiring Date]],"yyyy")</f>
        <v>2025</v>
      </c>
    </row>
    <row r="466" spans="1:22">
      <c r="A466" t="s">
        <v>1416</v>
      </c>
      <c r="B466">
        <v>33</v>
      </c>
      <c r="C466">
        <v>1303</v>
      </c>
      <c r="D466" t="s">
        <v>14</v>
      </c>
      <c r="E466" t="s">
        <v>1497</v>
      </c>
      <c r="F466" t="s">
        <v>1496</v>
      </c>
      <c r="G466">
        <v>36</v>
      </c>
      <c r="H466">
        <v>3</v>
      </c>
      <c r="I466">
        <v>2</v>
      </c>
      <c r="J466" t="s">
        <v>1478</v>
      </c>
      <c r="K466" t="s">
        <v>1479</v>
      </c>
      <c r="L466">
        <v>3</v>
      </c>
      <c r="M466" t="s">
        <v>16</v>
      </c>
      <c r="N466">
        <v>1</v>
      </c>
      <c r="O466" t="s">
        <v>13</v>
      </c>
      <c r="P466">
        <v>9</v>
      </c>
      <c r="Q466" s="4">
        <v>45650</v>
      </c>
      <c r="R466" s="4"/>
      <c r="S466" t="str">
        <f>TEXT(Table1[[#This Row],[Hiring Date]],"mmmm")</f>
        <v>December</v>
      </c>
      <c r="T466" s="1">
        <f>COUNTIF(S:S,Table1[[#This Row],[Months List]])</f>
        <v>0</v>
      </c>
      <c r="U466" t="str">
        <f>TEXT(Table1[[#This Row],[Hiring Date]],"dddd")</f>
        <v>Tuesday</v>
      </c>
      <c r="V466" s="1" t="str">
        <f>TEXT(Table1[[#This Row],[Hiring Date]],"yyyy")</f>
        <v>2024</v>
      </c>
    </row>
    <row r="467" spans="1:22">
      <c r="A467" t="s">
        <v>148</v>
      </c>
      <c r="B467">
        <v>43</v>
      </c>
      <c r="C467">
        <v>957</v>
      </c>
      <c r="D467" t="s">
        <v>14</v>
      </c>
      <c r="E467" t="s">
        <v>1495</v>
      </c>
      <c r="F467" t="s">
        <v>1499</v>
      </c>
      <c r="G467">
        <v>72</v>
      </c>
      <c r="H467">
        <v>4</v>
      </c>
      <c r="I467">
        <v>1</v>
      </c>
      <c r="J467" t="s">
        <v>1476</v>
      </c>
      <c r="K467" t="s">
        <v>1477</v>
      </c>
      <c r="L467">
        <v>3</v>
      </c>
      <c r="M467" t="s">
        <v>12</v>
      </c>
      <c r="N467">
        <v>4</v>
      </c>
      <c r="O467" t="s">
        <v>13</v>
      </c>
      <c r="P467">
        <v>18</v>
      </c>
      <c r="Q467" s="4">
        <v>45750</v>
      </c>
      <c r="R467" s="4"/>
      <c r="S467" t="str">
        <f>TEXT(Table1[[#This Row],[Hiring Date]],"mmmm")</f>
        <v>April</v>
      </c>
      <c r="T467" s="1">
        <f>COUNTIF(S:S,Table1[[#This Row],[Months List]])</f>
        <v>0</v>
      </c>
      <c r="U467" t="str">
        <f>TEXT(Table1[[#This Row],[Hiring Date]],"dddd")</f>
        <v>Thursday</v>
      </c>
      <c r="V467" s="1" t="str">
        <f>TEXT(Table1[[#This Row],[Hiring Date]],"yyyy")</f>
        <v>2025</v>
      </c>
    </row>
    <row r="468" spans="1:22">
      <c r="A468" t="s">
        <v>148</v>
      </c>
      <c r="B468">
        <v>43</v>
      </c>
      <c r="C468">
        <v>957</v>
      </c>
      <c r="D468" t="s">
        <v>14</v>
      </c>
      <c r="E468" t="s">
        <v>1495</v>
      </c>
      <c r="F468" t="s">
        <v>1499</v>
      </c>
      <c r="G468">
        <v>72</v>
      </c>
      <c r="H468">
        <v>4</v>
      </c>
      <c r="I468">
        <v>1</v>
      </c>
      <c r="J468" t="s">
        <v>1476</v>
      </c>
      <c r="K468" t="s">
        <v>1477</v>
      </c>
      <c r="L468">
        <v>3</v>
      </c>
      <c r="M468" t="s">
        <v>12</v>
      </c>
      <c r="N468">
        <v>4</v>
      </c>
      <c r="O468" t="s">
        <v>13</v>
      </c>
      <c r="P468">
        <v>18</v>
      </c>
      <c r="Q468" s="4">
        <v>45883</v>
      </c>
      <c r="R468" s="4"/>
      <c r="S468" t="str">
        <f>TEXT(Table1[[#This Row],[Hiring Date]],"mmmm")</f>
        <v>August</v>
      </c>
      <c r="T468" s="1">
        <f>COUNTIF(S:S,Table1[[#This Row],[Months List]])</f>
        <v>0</v>
      </c>
      <c r="U468" t="str">
        <f>TEXT(Table1[[#This Row],[Hiring Date]],"dddd")</f>
        <v>Thursday</v>
      </c>
      <c r="V468" s="1" t="str">
        <f>TEXT(Table1[[#This Row],[Hiring Date]],"yyyy")</f>
        <v>2025</v>
      </c>
    </row>
    <row r="469" spans="1:22">
      <c r="A469" t="s">
        <v>1417</v>
      </c>
      <c r="B469">
        <v>43</v>
      </c>
      <c r="C469">
        <v>574</v>
      </c>
      <c r="D469" t="s">
        <v>14</v>
      </c>
      <c r="E469" t="s">
        <v>1497</v>
      </c>
      <c r="F469" t="s">
        <v>1496</v>
      </c>
      <c r="G469">
        <v>30</v>
      </c>
      <c r="H469">
        <v>3</v>
      </c>
      <c r="I469">
        <v>3</v>
      </c>
      <c r="J469" t="s">
        <v>1478</v>
      </c>
      <c r="K469" t="s">
        <v>1479</v>
      </c>
      <c r="L469">
        <v>3</v>
      </c>
      <c r="M469" t="s">
        <v>15</v>
      </c>
      <c r="N469">
        <v>1</v>
      </c>
      <c r="O469" t="s">
        <v>13</v>
      </c>
      <c r="P469">
        <v>10</v>
      </c>
      <c r="Q469" s="4">
        <v>45964</v>
      </c>
      <c r="R469" s="4"/>
      <c r="S469" t="str">
        <f>TEXT(Table1[[#This Row],[Hiring Date]],"mmmm")</f>
        <v>November</v>
      </c>
      <c r="T469" s="1">
        <f>COUNTIF(S:S,Table1[[#This Row],[Months List]])</f>
        <v>0</v>
      </c>
      <c r="U469" t="str">
        <f>TEXT(Table1[[#This Row],[Hiring Date]],"dddd")</f>
        <v>Monday</v>
      </c>
      <c r="V469" s="1" t="str">
        <f>TEXT(Table1[[#This Row],[Hiring Date]],"yyyy")</f>
        <v>2025</v>
      </c>
    </row>
    <row r="470" spans="1:22">
      <c r="A470" t="s">
        <v>1418</v>
      </c>
      <c r="B470">
        <v>38</v>
      </c>
      <c r="C470">
        <v>1444</v>
      </c>
      <c r="D470" t="s">
        <v>17</v>
      </c>
      <c r="E470" t="s">
        <v>1500</v>
      </c>
      <c r="F470" t="s">
        <v>1496</v>
      </c>
      <c r="G470">
        <v>88</v>
      </c>
      <c r="H470">
        <v>3</v>
      </c>
      <c r="I470">
        <v>1</v>
      </c>
      <c r="J470" t="s">
        <v>1486</v>
      </c>
      <c r="K470" t="s">
        <v>17</v>
      </c>
      <c r="L470">
        <v>2</v>
      </c>
      <c r="M470" t="s">
        <v>15</v>
      </c>
      <c r="N470">
        <v>0</v>
      </c>
      <c r="O470" t="s">
        <v>10</v>
      </c>
      <c r="P470">
        <v>7</v>
      </c>
      <c r="Q470" s="4">
        <v>45884</v>
      </c>
      <c r="R470" s="4"/>
      <c r="S470" t="str">
        <f>TEXT(Table1[[#This Row],[Hiring Date]],"mmmm")</f>
        <v>August</v>
      </c>
      <c r="T470" s="1">
        <f>COUNTIF(S:S,Table1[[#This Row],[Months List]])</f>
        <v>0</v>
      </c>
      <c r="U470" t="str">
        <f>TEXT(Table1[[#This Row],[Hiring Date]],"dddd")</f>
        <v>Friday</v>
      </c>
      <c r="V470" s="1" t="str">
        <f>TEXT(Table1[[#This Row],[Hiring Date]],"yyyy")</f>
        <v>2025</v>
      </c>
    </row>
    <row r="471" spans="1:22">
      <c r="A471" t="s">
        <v>1419</v>
      </c>
      <c r="B471">
        <v>55</v>
      </c>
      <c r="C471">
        <v>189</v>
      </c>
      <c r="D471" t="s">
        <v>17</v>
      </c>
      <c r="E471" t="s">
        <v>17</v>
      </c>
      <c r="F471" t="s">
        <v>1496</v>
      </c>
      <c r="G471">
        <v>71</v>
      </c>
      <c r="H471">
        <v>4</v>
      </c>
      <c r="I471">
        <v>5</v>
      </c>
      <c r="J471" t="s">
        <v>1482</v>
      </c>
      <c r="K471" t="s">
        <v>1483</v>
      </c>
      <c r="L471">
        <v>2</v>
      </c>
      <c r="M471" t="s">
        <v>15</v>
      </c>
      <c r="N471">
        <v>4</v>
      </c>
      <c r="O471" t="s">
        <v>10</v>
      </c>
      <c r="P471">
        <v>35</v>
      </c>
      <c r="Q471" s="4">
        <v>45828</v>
      </c>
      <c r="R471" s="4"/>
      <c r="S471" t="str">
        <f>TEXT(Table1[[#This Row],[Hiring Date]],"mmmm")</f>
        <v>June</v>
      </c>
      <c r="T471" s="1">
        <f>COUNTIF(S:S,Table1[[#This Row],[Months List]])</f>
        <v>0</v>
      </c>
      <c r="U471" t="str">
        <f>TEXT(Table1[[#This Row],[Hiring Date]],"dddd")</f>
        <v>Friday</v>
      </c>
      <c r="V471" s="1" t="str">
        <f>TEXT(Table1[[#This Row],[Hiring Date]],"yyyy")</f>
        <v>2025</v>
      </c>
    </row>
    <row r="472" spans="1:22">
      <c r="A472" t="s">
        <v>1420</v>
      </c>
      <c r="B472">
        <v>31</v>
      </c>
      <c r="C472">
        <v>1276</v>
      </c>
      <c r="D472" t="s">
        <v>14</v>
      </c>
      <c r="E472" t="s">
        <v>1495</v>
      </c>
      <c r="F472" t="s">
        <v>1499</v>
      </c>
      <c r="G472">
        <v>59</v>
      </c>
      <c r="H472">
        <v>1</v>
      </c>
      <c r="I472">
        <v>1</v>
      </c>
      <c r="J472" t="s">
        <v>1484</v>
      </c>
      <c r="K472" t="s">
        <v>1485</v>
      </c>
      <c r="L472">
        <v>4</v>
      </c>
      <c r="M472" t="s">
        <v>16</v>
      </c>
      <c r="N472">
        <v>1</v>
      </c>
      <c r="O472" t="s">
        <v>10</v>
      </c>
      <c r="P472">
        <v>1</v>
      </c>
      <c r="Q472" s="4">
        <v>45763</v>
      </c>
      <c r="R472" s="4"/>
      <c r="S472" t="str">
        <f>TEXT(Table1[[#This Row],[Hiring Date]],"mmmm")</f>
        <v>April</v>
      </c>
      <c r="T472" s="1">
        <f>COUNTIF(S:S,Table1[[#This Row],[Months List]])</f>
        <v>0</v>
      </c>
      <c r="U472" t="str">
        <f>TEXT(Table1[[#This Row],[Hiring Date]],"dddd")</f>
        <v>Wednesday</v>
      </c>
      <c r="V472" s="1" t="str">
        <f>TEXT(Table1[[#This Row],[Hiring Date]],"yyyy")</f>
        <v>2025</v>
      </c>
    </row>
    <row r="473" spans="1:22">
      <c r="A473" t="s">
        <v>1421</v>
      </c>
      <c r="B473">
        <v>39</v>
      </c>
      <c r="C473">
        <v>119</v>
      </c>
      <c r="D473" t="s">
        <v>11</v>
      </c>
      <c r="E473" t="s">
        <v>1498</v>
      </c>
      <c r="F473" t="s">
        <v>1496</v>
      </c>
      <c r="G473">
        <v>77</v>
      </c>
      <c r="H473">
        <v>3</v>
      </c>
      <c r="I473">
        <v>4</v>
      </c>
      <c r="J473" t="s">
        <v>1474</v>
      </c>
      <c r="K473" t="s">
        <v>1475</v>
      </c>
      <c r="L473">
        <v>1</v>
      </c>
      <c r="M473" t="s">
        <v>12</v>
      </c>
      <c r="N473">
        <v>0</v>
      </c>
      <c r="O473" t="s">
        <v>13</v>
      </c>
      <c r="P473">
        <v>21</v>
      </c>
      <c r="Q473" s="4">
        <v>45975</v>
      </c>
      <c r="R473" s="4"/>
      <c r="S473" t="str">
        <f>TEXT(Table1[[#This Row],[Hiring Date]],"mmmm")</f>
        <v>November</v>
      </c>
      <c r="T473" s="1">
        <f>COUNTIF(S:S,Table1[[#This Row],[Months List]])</f>
        <v>0</v>
      </c>
      <c r="U473" t="str">
        <f>TEXT(Table1[[#This Row],[Hiring Date]],"dddd")</f>
        <v>Friday</v>
      </c>
      <c r="V473" s="1" t="str">
        <f>TEXT(Table1[[#This Row],[Hiring Date]],"yyyy")</f>
        <v>2025</v>
      </c>
    </row>
    <row r="474" spans="1:22">
      <c r="A474" t="s">
        <v>1422</v>
      </c>
      <c r="B474">
        <v>42</v>
      </c>
      <c r="C474">
        <v>335</v>
      </c>
      <c r="D474" t="s">
        <v>14</v>
      </c>
      <c r="E474" t="s">
        <v>1497</v>
      </c>
      <c r="F474" t="s">
        <v>1496</v>
      </c>
      <c r="G474">
        <v>37</v>
      </c>
      <c r="H474">
        <v>2</v>
      </c>
      <c r="I474">
        <v>2</v>
      </c>
      <c r="J474" t="s">
        <v>1476</v>
      </c>
      <c r="K474" t="s">
        <v>1477</v>
      </c>
      <c r="L474">
        <v>3</v>
      </c>
      <c r="M474" t="s">
        <v>12</v>
      </c>
      <c r="N474">
        <v>1</v>
      </c>
      <c r="O474" t="s">
        <v>13</v>
      </c>
      <c r="P474">
        <v>20</v>
      </c>
      <c r="Q474" s="4">
        <v>45919</v>
      </c>
      <c r="R474" s="4"/>
      <c r="S474" t="str">
        <f>TEXT(Table1[[#This Row],[Hiring Date]],"mmmm")</f>
        <v>September</v>
      </c>
      <c r="T474" s="1">
        <f>COUNTIF(S:S,Table1[[#This Row],[Months List]])</f>
        <v>0</v>
      </c>
      <c r="U474" t="str">
        <f>TEXT(Table1[[#This Row],[Hiring Date]],"dddd")</f>
        <v>Friday</v>
      </c>
      <c r="V474" s="1" t="str">
        <f>TEXT(Table1[[#This Row],[Hiring Date]],"yyyy")</f>
        <v>2025</v>
      </c>
    </row>
    <row r="475" spans="1:22">
      <c r="A475" t="s">
        <v>1423</v>
      </c>
      <c r="B475">
        <v>31</v>
      </c>
      <c r="C475">
        <v>697</v>
      </c>
      <c r="D475" t="s">
        <v>14</v>
      </c>
      <c r="E475" t="s">
        <v>1495</v>
      </c>
      <c r="F475" t="s">
        <v>1499</v>
      </c>
      <c r="G475">
        <v>40</v>
      </c>
      <c r="H475">
        <v>3</v>
      </c>
      <c r="I475">
        <v>3</v>
      </c>
      <c r="J475" t="s">
        <v>1487</v>
      </c>
      <c r="K475" t="s">
        <v>1488</v>
      </c>
      <c r="L475">
        <v>3</v>
      </c>
      <c r="M475" t="s">
        <v>15</v>
      </c>
      <c r="N475">
        <v>4</v>
      </c>
      <c r="O475" t="s">
        <v>13</v>
      </c>
      <c r="P475">
        <v>13</v>
      </c>
      <c r="Q475" s="4">
        <v>45896</v>
      </c>
      <c r="R475" s="4"/>
      <c r="S475" t="str">
        <f>TEXT(Table1[[#This Row],[Hiring Date]],"mmmm")</f>
        <v>August</v>
      </c>
      <c r="T475" s="1">
        <f>COUNTIF(S:S,Table1[[#This Row],[Months List]])</f>
        <v>0</v>
      </c>
      <c r="U475" t="str">
        <f>TEXT(Table1[[#This Row],[Hiring Date]],"dddd")</f>
        <v>Wednesday</v>
      </c>
      <c r="V475" s="1" t="str">
        <f>TEXT(Table1[[#This Row],[Hiring Date]],"yyyy")</f>
        <v>2025</v>
      </c>
    </row>
    <row r="476" spans="1:22">
      <c r="A476" t="s">
        <v>1424</v>
      </c>
      <c r="B476">
        <v>54</v>
      </c>
      <c r="C476">
        <v>157</v>
      </c>
      <c r="D476" t="s">
        <v>14</v>
      </c>
      <c r="E476" t="s">
        <v>1495</v>
      </c>
      <c r="F476" t="s">
        <v>1499</v>
      </c>
      <c r="G476">
        <v>77</v>
      </c>
      <c r="H476">
        <v>3</v>
      </c>
      <c r="I476">
        <v>2</v>
      </c>
      <c r="J476" t="s">
        <v>1480</v>
      </c>
      <c r="K476" t="s">
        <v>1481</v>
      </c>
      <c r="L476">
        <v>1</v>
      </c>
      <c r="M476" t="s">
        <v>12</v>
      </c>
      <c r="N476">
        <v>6</v>
      </c>
      <c r="O476" t="s">
        <v>10</v>
      </c>
      <c r="P476">
        <v>9</v>
      </c>
      <c r="Q476" s="4">
        <v>45773</v>
      </c>
      <c r="R476" s="4"/>
      <c r="S476" t="str">
        <f>TEXT(Table1[[#This Row],[Hiring Date]],"mmmm")</f>
        <v>April</v>
      </c>
      <c r="T476" s="1">
        <f>COUNTIF(S:S,Table1[[#This Row],[Months List]])</f>
        <v>0</v>
      </c>
      <c r="U476" t="str">
        <f>TEXT(Table1[[#This Row],[Hiring Date]],"dddd")</f>
        <v>Saturday</v>
      </c>
      <c r="V476" s="1" t="str">
        <f>TEXT(Table1[[#This Row],[Hiring Date]],"yyyy")</f>
        <v>2025</v>
      </c>
    </row>
    <row r="477" spans="1:22">
      <c r="A477" t="s">
        <v>1425</v>
      </c>
      <c r="B477">
        <v>24</v>
      </c>
      <c r="C477">
        <v>771</v>
      </c>
      <c r="D477" t="s">
        <v>14</v>
      </c>
      <c r="E477" t="s">
        <v>1497</v>
      </c>
      <c r="F477" t="s">
        <v>1496</v>
      </c>
      <c r="G477">
        <v>45</v>
      </c>
      <c r="H477">
        <v>2</v>
      </c>
      <c r="I477">
        <v>2</v>
      </c>
      <c r="J477" t="s">
        <v>1478</v>
      </c>
      <c r="K477" t="s">
        <v>1479</v>
      </c>
      <c r="L477">
        <v>3</v>
      </c>
      <c r="M477" t="s">
        <v>12</v>
      </c>
      <c r="N477">
        <v>1</v>
      </c>
      <c r="O477" t="s">
        <v>13</v>
      </c>
      <c r="P477">
        <v>4</v>
      </c>
      <c r="Q477" s="4">
        <v>45738</v>
      </c>
      <c r="R477" s="4"/>
      <c r="S477" t="str">
        <f>TEXT(Table1[[#This Row],[Hiring Date]],"mmmm")</f>
        <v>March</v>
      </c>
      <c r="T477" s="1">
        <f>COUNTIF(S:S,Table1[[#This Row],[Months List]])</f>
        <v>0</v>
      </c>
      <c r="U477" t="str">
        <f>TEXT(Table1[[#This Row],[Hiring Date]],"dddd")</f>
        <v>Saturday</v>
      </c>
      <c r="V477" s="1" t="str">
        <f>TEXT(Table1[[#This Row],[Hiring Date]],"yyyy")</f>
        <v>2025</v>
      </c>
    </row>
    <row r="478" spans="1:22">
      <c r="A478" t="s">
        <v>1426</v>
      </c>
      <c r="B478">
        <v>23</v>
      </c>
      <c r="C478">
        <v>571</v>
      </c>
      <c r="D478" t="s">
        <v>14</v>
      </c>
      <c r="E478" t="s">
        <v>1500</v>
      </c>
      <c r="F478" t="s">
        <v>1496</v>
      </c>
      <c r="G478">
        <v>78</v>
      </c>
      <c r="H478">
        <v>3</v>
      </c>
      <c r="I478">
        <v>1</v>
      </c>
      <c r="J478" t="s">
        <v>1484</v>
      </c>
      <c r="K478" t="s">
        <v>1485</v>
      </c>
      <c r="L478">
        <v>4</v>
      </c>
      <c r="M478" t="s">
        <v>12</v>
      </c>
      <c r="N478">
        <v>1</v>
      </c>
      <c r="O478" t="s">
        <v>13</v>
      </c>
      <c r="P478">
        <v>5</v>
      </c>
      <c r="Q478" s="4">
        <v>45885</v>
      </c>
      <c r="R478" s="4"/>
      <c r="S478" t="str">
        <f>TEXT(Table1[[#This Row],[Hiring Date]],"mmmm")</f>
        <v>August</v>
      </c>
      <c r="T478" s="1">
        <f>COUNTIF(S:S,Table1[[#This Row],[Months List]])</f>
        <v>0</v>
      </c>
      <c r="U478" t="str">
        <f>TEXT(Table1[[#This Row],[Hiring Date]],"dddd")</f>
        <v>Saturday</v>
      </c>
      <c r="V478" s="1" t="str">
        <f>TEXT(Table1[[#This Row],[Hiring Date]],"yyyy")</f>
        <v>2025</v>
      </c>
    </row>
    <row r="479" spans="1:22">
      <c r="A479" t="s">
        <v>149</v>
      </c>
      <c r="B479">
        <v>50</v>
      </c>
      <c r="C479">
        <v>809</v>
      </c>
      <c r="D479" t="s">
        <v>11</v>
      </c>
      <c r="E479" t="s">
        <v>1498</v>
      </c>
      <c r="F479" t="s">
        <v>1499</v>
      </c>
      <c r="G479">
        <v>77</v>
      </c>
      <c r="H479">
        <v>3</v>
      </c>
      <c r="I479">
        <v>3</v>
      </c>
      <c r="J479" t="s">
        <v>1474</v>
      </c>
      <c r="K479" t="s">
        <v>1475</v>
      </c>
      <c r="L479">
        <v>4</v>
      </c>
      <c r="M479" t="s">
        <v>12</v>
      </c>
      <c r="N479">
        <v>4</v>
      </c>
      <c r="O479" t="s">
        <v>13</v>
      </c>
      <c r="P479">
        <v>16</v>
      </c>
      <c r="Q479" s="4">
        <v>45882</v>
      </c>
      <c r="R479" s="4"/>
      <c r="S479" t="str">
        <f>TEXT(Table1[[#This Row],[Hiring Date]],"mmmm")</f>
        <v>August</v>
      </c>
      <c r="T479" s="1">
        <f>COUNTIF(S:S,Table1[[#This Row],[Months List]])</f>
        <v>0</v>
      </c>
      <c r="U479" t="str">
        <f>TEXT(Table1[[#This Row],[Hiring Date]],"dddd")</f>
        <v>Wednesday</v>
      </c>
      <c r="V479" s="1" t="str">
        <f>TEXT(Table1[[#This Row],[Hiring Date]],"yyyy")</f>
        <v>2025</v>
      </c>
    </row>
    <row r="480" spans="1:22">
      <c r="A480" t="s">
        <v>149</v>
      </c>
      <c r="B480">
        <v>50</v>
      </c>
      <c r="C480">
        <v>809</v>
      </c>
      <c r="D480" t="s">
        <v>11</v>
      </c>
      <c r="E480" t="s">
        <v>1498</v>
      </c>
      <c r="F480" t="s">
        <v>1499</v>
      </c>
      <c r="G480">
        <v>77</v>
      </c>
      <c r="H480">
        <v>3</v>
      </c>
      <c r="I480">
        <v>3</v>
      </c>
      <c r="J480" t="s">
        <v>1474</v>
      </c>
      <c r="K480" t="s">
        <v>1475</v>
      </c>
      <c r="L480">
        <v>4</v>
      </c>
      <c r="M480" t="s">
        <v>12</v>
      </c>
      <c r="N480">
        <v>4</v>
      </c>
      <c r="O480" t="s">
        <v>13</v>
      </c>
      <c r="P480">
        <v>16</v>
      </c>
      <c r="Q480" s="4">
        <v>45991</v>
      </c>
      <c r="R480" s="4"/>
      <c r="S480" t="str">
        <f>TEXT(Table1[[#This Row],[Hiring Date]],"mmmm")</f>
        <v>November</v>
      </c>
      <c r="T480" s="1">
        <f>COUNTIF(S:S,Table1[[#This Row],[Months List]])</f>
        <v>0</v>
      </c>
      <c r="U480" t="str">
        <f>TEXT(Table1[[#This Row],[Hiring Date]],"dddd")</f>
        <v>Sunday</v>
      </c>
      <c r="V480" s="1" t="str">
        <f>TEXT(Table1[[#This Row],[Hiring Date]],"yyyy")</f>
        <v>2025</v>
      </c>
    </row>
    <row r="481" spans="1:22">
      <c r="A481" t="s">
        <v>1427</v>
      </c>
      <c r="B481">
        <v>40</v>
      </c>
      <c r="C481">
        <v>692</v>
      </c>
      <c r="D481" t="s">
        <v>14</v>
      </c>
      <c r="E481" t="s">
        <v>1501</v>
      </c>
      <c r="F481" t="s">
        <v>1499</v>
      </c>
      <c r="G481">
        <v>73</v>
      </c>
      <c r="H481">
        <v>3</v>
      </c>
      <c r="I481">
        <v>2</v>
      </c>
      <c r="J481" t="s">
        <v>1484</v>
      </c>
      <c r="K481" t="s">
        <v>1485</v>
      </c>
      <c r="L481">
        <v>3</v>
      </c>
      <c r="M481" t="s">
        <v>15</v>
      </c>
      <c r="N481">
        <v>1</v>
      </c>
      <c r="O481" t="s">
        <v>13</v>
      </c>
      <c r="P481">
        <v>10</v>
      </c>
      <c r="Q481" s="4">
        <v>45661</v>
      </c>
      <c r="R481" s="4"/>
      <c r="S481" t="str">
        <f>TEXT(Table1[[#This Row],[Hiring Date]],"mmmm")</f>
        <v>January</v>
      </c>
      <c r="T481" s="1">
        <f>COUNTIF(S:S,Table1[[#This Row],[Months List]])</f>
        <v>0</v>
      </c>
      <c r="U481" t="str">
        <f>TEXT(Table1[[#This Row],[Hiring Date]],"dddd")</f>
        <v>Saturday</v>
      </c>
      <c r="V481" s="1" t="str">
        <f>TEXT(Table1[[#This Row],[Hiring Date]],"yyyy")</f>
        <v>2025</v>
      </c>
    </row>
    <row r="482" spans="1:22">
      <c r="A482" t="s">
        <v>1428</v>
      </c>
      <c r="B482">
        <v>40</v>
      </c>
      <c r="C482">
        <v>444</v>
      </c>
      <c r="D482" t="s">
        <v>11</v>
      </c>
      <c r="E482" t="s">
        <v>1498</v>
      </c>
      <c r="F482" t="s">
        <v>1499</v>
      </c>
      <c r="G482">
        <v>92</v>
      </c>
      <c r="H482">
        <v>3</v>
      </c>
      <c r="I482">
        <v>2</v>
      </c>
      <c r="J482" t="s">
        <v>1474</v>
      </c>
      <c r="K482" t="s">
        <v>1475</v>
      </c>
      <c r="L482">
        <v>2</v>
      </c>
      <c r="M482" t="s">
        <v>15</v>
      </c>
      <c r="N482">
        <v>3</v>
      </c>
      <c r="O482" t="s">
        <v>13</v>
      </c>
      <c r="P482">
        <v>15</v>
      </c>
      <c r="Q482" s="4">
        <v>45964</v>
      </c>
      <c r="R482" s="4"/>
      <c r="S482" t="str">
        <f>TEXT(Table1[[#This Row],[Hiring Date]],"mmmm")</f>
        <v>November</v>
      </c>
      <c r="T482" s="1">
        <f>COUNTIF(S:S,Table1[[#This Row],[Months List]])</f>
        <v>0</v>
      </c>
      <c r="U482" t="str">
        <f>TEXT(Table1[[#This Row],[Hiring Date]],"dddd")</f>
        <v>Monday</v>
      </c>
      <c r="V482" s="1" t="str">
        <f>TEXT(Table1[[#This Row],[Hiring Date]],"yyyy")</f>
        <v>2025</v>
      </c>
    </row>
    <row r="483" spans="1:22">
      <c r="A483" t="s">
        <v>1429</v>
      </c>
      <c r="B483">
        <v>25</v>
      </c>
      <c r="C483">
        <v>309</v>
      </c>
      <c r="D483" t="s">
        <v>17</v>
      </c>
      <c r="E483" t="s">
        <v>17</v>
      </c>
      <c r="F483" t="s">
        <v>1499</v>
      </c>
      <c r="G483">
        <v>82</v>
      </c>
      <c r="H483">
        <v>3</v>
      </c>
      <c r="I483">
        <v>1</v>
      </c>
      <c r="J483" t="s">
        <v>1486</v>
      </c>
      <c r="K483" t="s">
        <v>17</v>
      </c>
      <c r="L483">
        <v>2</v>
      </c>
      <c r="M483" t="s">
        <v>15</v>
      </c>
      <c r="N483">
        <v>4</v>
      </c>
      <c r="O483" t="s">
        <v>13</v>
      </c>
      <c r="P483">
        <v>6</v>
      </c>
      <c r="Q483" s="4">
        <v>45742</v>
      </c>
      <c r="R483" s="4"/>
      <c r="S483" t="str">
        <f>TEXT(Table1[[#This Row],[Hiring Date]],"mmmm")</f>
        <v>March</v>
      </c>
      <c r="T483" s="1">
        <f>COUNTIF(S:S,Table1[[#This Row],[Months List]])</f>
        <v>0</v>
      </c>
      <c r="U483" t="str">
        <f>TEXT(Table1[[#This Row],[Hiring Date]],"dddd")</f>
        <v>Wednesday</v>
      </c>
      <c r="V483" s="1" t="str">
        <f>TEXT(Table1[[#This Row],[Hiring Date]],"yyyy")</f>
        <v>2025</v>
      </c>
    </row>
    <row r="484" spans="1:22">
      <c r="A484" t="s">
        <v>1430</v>
      </c>
      <c r="B484">
        <v>30</v>
      </c>
      <c r="C484">
        <v>911</v>
      </c>
      <c r="D484" t="s">
        <v>14</v>
      </c>
      <c r="E484" t="s">
        <v>1495</v>
      </c>
      <c r="F484" t="s">
        <v>1496</v>
      </c>
      <c r="G484">
        <v>76</v>
      </c>
      <c r="H484">
        <v>3</v>
      </c>
      <c r="I484">
        <v>1</v>
      </c>
      <c r="J484" t="s">
        <v>1484</v>
      </c>
      <c r="K484" t="s">
        <v>1485</v>
      </c>
      <c r="L484">
        <v>2</v>
      </c>
      <c r="M484" t="s">
        <v>15</v>
      </c>
      <c r="N484">
        <v>1</v>
      </c>
      <c r="O484" t="s">
        <v>13</v>
      </c>
      <c r="P484">
        <v>12</v>
      </c>
      <c r="Q484" s="4">
        <v>45813</v>
      </c>
      <c r="R484" s="4"/>
      <c r="S484" t="str">
        <f>TEXT(Table1[[#This Row],[Hiring Date]],"mmmm")</f>
        <v>June</v>
      </c>
      <c r="T484" s="1">
        <f>COUNTIF(S:S,Table1[[#This Row],[Months List]])</f>
        <v>0</v>
      </c>
      <c r="U484" t="str">
        <f>TEXT(Table1[[#This Row],[Hiring Date]],"dddd")</f>
        <v>Thursday</v>
      </c>
      <c r="V484" s="1" t="str">
        <f>TEXT(Table1[[#This Row],[Hiring Date]],"yyyy")</f>
        <v>2025</v>
      </c>
    </row>
    <row r="485" spans="1:22">
      <c r="A485" t="s">
        <v>1431</v>
      </c>
      <c r="B485">
        <v>25</v>
      </c>
      <c r="C485">
        <v>977</v>
      </c>
      <c r="D485" t="s">
        <v>14</v>
      </c>
      <c r="E485" t="s">
        <v>1500</v>
      </c>
      <c r="F485" t="s">
        <v>1496</v>
      </c>
      <c r="G485">
        <v>57</v>
      </c>
      <c r="H485">
        <v>3</v>
      </c>
      <c r="I485">
        <v>1</v>
      </c>
      <c r="J485" t="s">
        <v>1484</v>
      </c>
      <c r="K485" t="s">
        <v>1485</v>
      </c>
      <c r="L485">
        <v>3</v>
      </c>
      <c r="M485" t="s">
        <v>16</v>
      </c>
      <c r="N485">
        <v>6</v>
      </c>
      <c r="O485" t="s">
        <v>10</v>
      </c>
      <c r="P485">
        <v>7</v>
      </c>
      <c r="Q485" s="4">
        <v>45754</v>
      </c>
      <c r="R485" s="4"/>
      <c r="S485" t="str">
        <f>TEXT(Table1[[#This Row],[Hiring Date]],"mmmm")</f>
        <v>April</v>
      </c>
      <c r="T485" s="1">
        <f>COUNTIF(S:S,Table1[[#This Row],[Months List]])</f>
        <v>0</v>
      </c>
      <c r="U485" t="str">
        <f>TEXT(Table1[[#This Row],[Hiring Date]],"dddd")</f>
        <v>Monday</v>
      </c>
      <c r="V485" s="1" t="str">
        <f>TEXT(Table1[[#This Row],[Hiring Date]],"yyyy")</f>
        <v>2025</v>
      </c>
    </row>
    <row r="486" spans="1:22">
      <c r="A486" t="s">
        <v>1432</v>
      </c>
      <c r="B486">
        <v>47</v>
      </c>
      <c r="C486">
        <v>1180</v>
      </c>
      <c r="D486" t="s">
        <v>14</v>
      </c>
      <c r="E486" t="s">
        <v>1495</v>
      </c>
      <c r="F486" t="s">
        <v>1496</v>
      </c>
      <c r="G486">
        <v>84</v>
      </c>
      <c r="H486">
        <v>3</v>
      </c>
      <c r="I486">
        <v>3</v>
      </c>
      <c r="J486" t="s">
        <v>1478</v>
      </c>
      <c r="K486" t="s">
        <v>1479</v>
      </c>
      <c r="L486">
        <v>3</v>
      </c>
      <c r="M486" t="s">
        <v>12</v>
      </c>
      <c r="N486">
        <v>2</v>
      </c>
      <c r="O486" t="s">
        <v>13</v>
      </c>
      <c r="P486">
        <v>25</v>
      </c>
      <c r="Q486" s="4">
        <v>45817</v>
      </c>
      <c r="R486" s="4"/>
      <c r="S486" t="str">
        <f>TEXT(Table1[[#This Row],[Hiring Date]],"mmmm")</f>
        <v>June</v>
      </c>
      <c r="T486" s="1">
        <f>COUNTIF(S:S,Table1[[#This Row],[Months List]])</f>
        <v>0</v>
      </c>
      <c r="U486" t="str">
        <f>TEXT(Table1[[#This Row],[Hiring Date]],"dddd")</f>
        <v>Monday</v>
      </c>
      <c r="V486" s="1" t="str">
        <f>TEXT(Table1[[#This Row],[Hiring Date]],"yyyy")</f>
        <v>2025</v>
      </c>
    </row>
    <row r="487" spans="1:22">
      <c r="A487" t="s">
        <v>1433</v>
      </c>
      <c r="B487">
        <v>33</v>
      </c>
      <c r="C487">
        <v>1313</v>
      </c>
      <c r="D487" t="s">
        <v>14</v>
      </c>
      <c r="E487" t="s">
        <v>1495</v>
      </c>
      <c r="F487" t="s">
        <v>1496</v>
      </c>
      <c r="G487">
        <v>59</v>
      </c>
      <c r="H487">
        <v>2</v>
      </c>
      <c r="I487">
        <v>1</v>
      </c>
      <c r="J487" t="s">
        <v>1484</v>
      </c>
      <c r="K487" t="s">
        <v>1485</v>
      </c>
      <c r="L487">
        <v>3</v>
      </c>
      <c r="M487" t="s">
        <v>16</v>
      </c>
      <c r="N487">
        <v>1</v>
      </c>
      <c r="O487" t="s">
        <v>13</v>
      </c>
      <c r="P487">
        <v>1</v>
      </c>
      <c r="Q487" s="4">
        <v>45962</v>
      </c>
      <c r="R487" s="4"/>
      <c r="S487" t="str">
        <f>TEXT(Table1[[#This Row],[Hiring Date]],"mmmm")</f>
        <v>November</v>
      </c>
      <c r="T487" s="1">
        <f>COUNTIF(S:S,Table1[[#This Row],[Months List]])</f>
        <v>0</v>
      </c>
      <c r="U487" t="str">
        <f>TEXT(Table1[[#This Row],[Hiring Date]],"dddd")</f>
        <v>Saturday</v>
      </c>
      <c r="V487" s="1" t="str">
        <f>TEXT(Table1[[#This Row],[Hiring Date]],"yyyy")</f>
        <v>2025</v>
      </c>
    </row>
    <row r="488" spans="1:22">
      <c r="A488" t="s">
        <v>1434</v>
      </c>
      <c r="B488">
        <v>38</v>
      </c>
      <c r="C488">
        <v>1321</v>
      </c>
      <c r="D488" t="s">
        <v>11</v>
      </c>
      <c r="E488" t="s">
        <v>1497</v>
      </c>
      <c r="F488" t="s">
        <v>1496</v>
      </c>
      <c r="G488">
        <v>86</v>
      </c>
      <c r="H488">
        <v>3</v>
      </c>
      <c r="I488">
        <v>2</v>
      </c>
      <c r="J488" t="s">
        <v>1474</v>
      </c>
      <c r="K488" t="s">
        <v>1475</v>
      </c>
      <c r="L488">
        <v>2</v>
      </c>
      <c r="M488" t="s">
        <v>15</v>
      </c>
      <c r="N488">
        <v>0</v>
      </c>
      <c r="O488" t="s">
        <v>13</v>
      </c>
      <c r="P488">
        <v>16</v>
      </c>
      <c r="Q488" s="4">
        <v>45838</v>
      </c>
      <c r="R488" s="4"/>
      <c r="S488" t="str">
        <f>TEXT(Table1[[#This Row],[Hiring Date]],"mmmm")</f>
        <v>June</v>
      </c>
      <c r="T488" s="1">
        <f>COUNTIF(S:S,Table1[[#This Row],[Months List]])</f>
        <v>0</v>
      </c>
      <c r="U488" t="str">
        <f>TEXT(Table1[[#This Row],[Hiring Date]],"dddd")</f>
        <v>Monday</v>
      </c>
      <c r="V488" s="1" t="str">
        <f>TEXT(Table1[[#This Row],[Hiring Date]],"yyyy")</f>
        <v>2025</v>
      </c>
    </row>
    <row r="489" spans="1:22">
      <c r="A489" t="s">
        <v>1435</v>
      </c>
      <c r="B489">
        <v>31</v>
      </c>
      <c r="C489">
        <v>1154</v>
      </c>
      <c r="D489" t="s">
        <v>11</v>
      </c>
      <c r="E489" t="s">
        <v>1497</v>
      </c>
      <c r="F489" t="s">
        <v>1496</v>
      </c>
      <c r="G489">
        <v>54</v>
      </c>
      <c r="H489">
        <v>3</v>
      </c>
      <c r="I489">
        <v>1</v>
      </c>
      <c r="J489" t="s">
        <v>1489</v>
      </c>
      <c r="K489" t="s">
        <v>1490</v>
      </c>
      <c r="L489">
        <v>3</v>
      </c>
      <c r="M489" t="s">
        <v>15</v>
      </c>
      <c r="N489">
        <v>0</v>
      </c>
      <c r="O489" t="s">
        <v>13</v>
      </c>
      <c r="P489">
        <v>3</v>
      </c>
      <c r="Q489" s="4">
        <v>45924</v>
      </c>
      <c r="R489" s="4"/>
      <c r="S489" t="str">
        <f>TEXT(Table1[[#This Row],[Hiring Date]],"mmmm")</f>
        <v>September</v>
      </c>
      <c r="T489" s="1">
        <f>COUNTIF(S:S,Table1[[#This Row],[Months List]])</f>
        <v>0</v>
      </c>
      <c r="U489" t="str">
        <f>TEXT(Table1[[#This Row],[Hiring Date]],"dddd")</f>
        <v>Wednesday</v>
      </c>
      <c r="V489" s="1" t="str">
        <f>TEXT(Table1[[#This Row],[Hiring Date]],"yyyy")</f>
        <v>2025</v>
      </c>
    </row>
    <row r="490" spans="1:22">
      <c r="A490" t="s">
        <v>1436</v>
      </c>
      <c r="B490">
        <v>38</v>
      </c>
      <c r="C490">
        <v>508</v>
      </c>
      <c r="D490" t="s">
        <v>14</v>
      </c>
      <c r="E490" t="s">
        <v>1497</v>
      </c>
      <c r="F490" t="s">
        <v>1496</v>
      </c>
      <c r="G490">
        <v>72</v>
      </c>
      <c r="H490">
        <v>2</v>
      </c>
      <c r="I490">
        <v>2</v>
      </c>
      <c r="J490" t="s">
        <v>1480</v>
      </c>
      <c r="K490" t="s">
        <v>1481</v>
      </c>
      <c r="L490">
        <v>3</v>
      </c>
      <c r="M490" t="s">
        <v>15</v>
      </c>
      <c r="N490">
        <v>2</v>
      </c>
      <c r="O490" t="s">
        <v>13</v>
      </c>
      <c r="P490">
        <v>10</v>
      </c>
      <c r="Q490" s="4">
        <v>45976</v>
      </c>
      <c r="R490" s="4"/>
      <c r="S490" t="str">
        <f>TEXT(Table1[[#This Row],[Hiring Date]],"mmmm")</f>
        <v>November</v>
      </c>
      <c r="T490" s="1">
        <f>COUNTIF(S:S,Table1[[#This Row],[Months List]])</f>
        <v>0</v>
      </c>
      <c r="U490" t="str">
        <f>TEXT(Table1[[#This Row],[Hiring Date]],"dddd")</f>
        <v>Saturday</v>
      </c>
      <c r="V490" s="1" t="str">
        <f>TEXT(Table1[[#This Row],[Hiring Date]],"yyyy")</f>
        <v>2025</v>
      </c>
    </row>
    <row r="491" spans="1:22">
      <c r="A491" t="s">
        <v>150</v>
      </c>
      <c r="B491">
        <v>31</v>
      </c>
      <c r="C491">
        <v>542</v>
      </c>
      <c r="D491" t="s">
        <v>11</v>
      </c>
      <c r="E491" t="s">
        <v>1497</v>
      </c>
      <c r="F491" t="s">
        <v>1499</v>
      </c>
      <c r="G491">
        <v>71</v>
      </c>
      <c r="H491">
        <v>1</v>
      </c>
      <c r="I491">
        <v>2</v>
      </c>
      <c r="J491" t="s">
        <v>1474</v>
      </c>
      <c r="K491" t="s">
        <v>1475</v>
      </c>
      <c r="L491">
        <v>3</v>
      </c>
      <c r="M491" t="s">
        <v>15</v>
      </c>
      <c r="N491">
        <v>3</v>
      </c>
      <c r="O491" t="s">
        <v>10</v>
      </c>
      <c r="P491">
        <v>4</v>
      </c>
      <c r="Q491" s="4">
        <v>45710</v>
      </c>
      <c r="R491" s="4"/>
      <c r="S491" t="str">
        <f>TEXT(Table1[[#This Row],[Hiring Date]],"mmmm")</f>
        <v>February</v>
      </c>
      <c r="T491" s="1">
        <f>COUNTIF(S:S,Table1[[#This Row],[Months List]])</f>
        <v>0</v>
      </c>
      <c r="U491" t="str">
        <f>TEXT(Table1[[#This Row],[Hiring Date]],"dddd")</f>
        <v>Saturday</v>
      </c>
      <c r="V491" s="1" t="str">
        <f>TEXT(Table1[[#This Row],[Hiring Date]],"yyyy")</f>
        <v>2025</v>
      </c>
    </row>
    <row r="492" spans="1:22">
      <c r="A492" t="s">
        <v>1437</v>
      </c>
      <c r="B492">
        <v>42</v>
      </c>
      <c r="C492">
        <v>557</v>
      </c>
      <c r="D492" t="s">
        <v>14</v>
      </c>
      <c r="E492" t="s">
        <v>1497</v>
      </c>
      <c r="F492" t="s">
        <v>1496</v>
      </c>
      <c r="G492">
        <v>35</v>
      </c>
      <c r="H492">
        <v>3</v>
      </c>
      <c r="I492">
        <v>2</v>
      </c>
      <c r="J492" t="s">
        <v>1476</v>
      </c>
      <c r="K492" t="s">
        <v>1477</v>
      </c>
      <c r="L492">
        <v>1</v>
      </c>
      <c r="M492" t="s">
        <v>16</v>
      </c>
      <c r="N492">
        <v>6</v>
      </c>
      <c r="O492" t="s">
        <v>10</v>
      </c>
      <c r="P492">
        <v>9</v>
      </c>
      <c r="Q492" s="4">
        <v>45835</v>
      </c>
      <c r="R492" s="4"/>
      <c r="S492" t="str">
        <f>TEXT(Table1[[#This Row],[Hiring Date]],"mmmm")</f>
        <v>June</v>
      </c>
      <c r="T492" s="1">
        <f>COUNTIF(S:S,Table1[[#This Row],[Months List]])</f>
        <v>0</v>
      </c>
      <c r="U492" t="str">
        <f>TEXT(Table1[[#This Row],[Hiring Date]],"dddd")</f>
        <v>Friday</v>
      </c>
      <c r="V492" s="1" t="str">
        <f>TEXT(Table1[[#This Row],[Hiring Date]],"yyyy")</f>
        <v>2025</v>
      </c>
    </row>
    <row r="493" spans="1:22">
      <c r="A493" t="s">
        <v>1438</v>
      </c>
      <c r="B493">
        <v>41</v>
      </c>
      <c r="C493">
        <v>642</v>
      </c>
      <c r="D493" t="s">
        <v>14</v>
      </c>
      <c r="E493" t="s">
        <v>1497</v>
      </c>
      <c r="F493" t="s">
        <v>1496</v>
      </c>
      <c r="G493">
        <v>76</v>
      </c>
      <c r="H493">
        <v>3</v>
      </c>
      <c r="I493">
        <v>1</v>
      </c>
      <c r="J493" t="s">
        <v>1476</v>
      </c>
      <c r="K493" t="s">
        <v>1477</v>
      </c>
      <c r="L493">
        <v>4</v>
      </c>
      <c r="M493" t="s">
        <v>15</v>
      </c>
      <c r="N493">
        <v>3</v>
      </c>
      <c r="O493" t="s">
        <v>13</v>
      </c>
      <c r="P493">
        <v>12</v>
      </c>
      <c r="Q493" s="4">
        <v>45649</v>
      </c>
      <c r="R493" s="4"/>
      <c r="S493" t="str">
        <f>TEXT(Table1[[#This Row],[Hiring Date]],"mmmm")</f>
        <v>December</v>
      </c>
      <c r="T493" s="1">
        <f>COUNTIF(S:S,Table1[[#This Row],[Months List]])</f>
        <v>0</v>
      </c>
      <c r="U493" t="str">
        <f>TEXT(Table1[[#This Row],[Hiring Date]],"dddd")</f>
        <v>Monday</v>
      </c>
      <c r="V493" s="1" t="str">
        <f>TEXT(Table1[[#This Row],[Hiring Date]],"yyyy")</f>
        <v>2024</v>
      </c>
    </row>
    <row r="494" spans="1:22">
      <c r="A494" t="s">
        <v>1439</v>
      </c>
      <c r="B494">
        <v>47</v>
      </c>
      <c r="C494">
        <v>1162</v>
      </c>
      <c r="D494" t="s">
        <v>14</v>
      </c>
      <c r="E494" t="s">
        <v>1495</v>
      </c>
      <c r="F494" t="s">
        <v>1499</v>
      </c>
      <c r="G494">
        <v>98</v>
      </c>
      <c r="H494">
        <v>3</v>
      </c>
      <c r="I494">
        <v>3</v>
      </c>
      <c r="J494" t="s">
        <v>1487</v>
      </c>
      <c r="K494" t="s">
        <v>1488</v>
      </c>
      <c r="L494">
        <v>2</v>
      </c>
      <c r="M494" t="s">
        <v>15</v>
      </c>
      <c r="N494">
        <v>0</v>
      </c>
      <c r="O494" t="s">
        <v>13</v>
      </c>
      <c r="P494">
        <v>14</v>
      </c>
      <c r="Q494" s="4">
        <v>45872</v>
      </c>
      <c r="R494" s="4"/>
      <c r="S494" t="str">
        <f>TEXT(Table1[[#This Row],[Hiring Date]],"mmmm")</f>
        <v>August</v>
      </c>
      <c r="T494" s="1">
        <f>COUNTIF(S:S,Table1[[#This Row],[Months List]])</f>
        <v>0</v>
      </c>
      <c r="U494" t="str">
        <f>TEXT(Table1[[#This Row],[Hiring Date]],"dddd")</f>
        <v>Sunday</v>
      </c>
      <c r="V494" s="1" t="str">
        <f>TEXT(Table1[[#This Row],[Hiring Date]],"yyyy")</f>
        <v>2025</v>
      </c>
    </row>
    <row r="495" spans="1:22">
      <c r="A495" t="s">
        <v>1440</v>
      </c>
      <c r="B495">
        <v>35</v>
      </c>
      <c r="C495">
        <v>1490</v>
      </c>
      <c r="D495" t="s">
        <v>14</v>
      </c>
      <c r="E495" t="s">
        <v>1495</v>
      </c>
      <c r="F495" t="s">
        <v>1496</v>
      </c>
      <c r="G495">
        <v>43</v>
      </c>
      <c r="H495">
        <v>3</v>
      </c>
      <c r="I495">
        <v>1</v>
      </c>
      <c r="J495" t="s">
        <v>1484</v>
      </c>
      <c r="K495" t="s">
        <v>1485</v>
      </c>
      <c r="L495">
        <v>3</v>
      </c>
      <c r="M495" t="s">
        <v>15</v>
      </c>
      <c r="N495">
        <v>7</v>
      </c>
      <c r="O495" t="s">
        <v>10</v>
      </c>
      <c r="P495">
        <v>5</v>
      </c>
      <c r="Q495" s="4">
        <v>45899</v>
      </c>
      <c r="R495" s="4"/>
      <c r="S495" t="str">
        <f>TEXT(Table1[[#This Row],[Hiring Date]],"mmmm")</f>
        <v>August</v>
      </c>
      <c r="T495" s="1">
        <f>COUNTIF(S:S,Table1[[#This Row],[Months List]])</f>
        <v>0</v>
      </c>
      <c r="U495" t="str">
        <f>TEXT(Table1[[#This Row],[Hiring Date]],"dddd")</f>
        <v>Saturday</v>
      </c>
      <c r="V495" s="1" t="str">
        <f>TEXT(Table1[[#This Row],[Hiring Date]],"yyyy")</f>
        <v>2025</v>
      </c>
    </row>
    <row r="496" spans="1:22">
      <c r="A496" t="s">
        <v>1441</v>
      </c>
      <c r="B496">
        <v>22</v>
      </c>
      <c r="C496">
        <v>581</v>
      </c>
      <c r="D496" t="s">
        <v>14</v>
      </c>
      <c r="E496" t="s">
        <v>1497</v>
      </c>
      <c r="F496" t="s">
        <v>1496</v>
      </c>
      <c r="G496">
        <v>63</v>
      </c>
      <c r="H496">
        <v>3</v>
      </c>
      <c r="I496">
        <v>1</v>
      </c>
      <c r="J496" t="s">
        <v>1476</v>
      </c>
      <c r="K496" t="s">
        <v>1477</v>
      </c>
      <c r="L496">
        <v>3</v>
      </c>
      <c r="M496" t="s">
        <v>12</v>
      </c>
      <c r="N496">
        <v>0</v>
      </c>
      <c r="O496" t="s">
        <v>13</v>
      </c>
      <c r="P496">
        <v>4</v>
      </c>
      <c r="Q496" s="4">
        <v>45923</v>
      </c>
      <c r="R496" s="4"/>
      <c r="S496" t="str">
        <f>TEXT(Table1[[#This Row],[Hiring Date]],"mmmm")</f>
        <v>September</v>
      </c>
      <c r="T496" s="1">
        <f>COUNTIF(S:S,Table1[[#This Row],[Months List]])</f>
        <v>0</v>
      </c>
      <c r="U496" t="str">
        <f>TEXT(Table1[[#This Row],[Hiring Date]],"dddd")</f>
        <v>Tuesday</v>
      </c>
      <c r="V496" s="1" t="str">
        <f>TEXT(Table1[[#This Row],[Hiring Date]],"yyyy")</f>
        <v>2025</v>
      </c>
    </row>
    <row r="497" spans="1:22">
      <c r="A497" t="s">
        <v>1442</v>
      </c>
      <c r="B497">
        <v>35</v>
      </c>
      <c r="C497">
        <v>1395</v>
      </c>
      <c r="D497" t="s">
        <v>14</v>
      </c>
      <c r="E497" t="s">
        <v>1495</v>
      </c>
      <c r="F497" t="s">
        <v>1496</v>
      </c>
      <c r="G497">
        <v>48</v>
      </c>
      <c r="H497">
        <v>3</v>
      </c>
      <c r="I497">
        <v>2</v>
      </c>
      <c r="J497" t="s">
        <v>1476</v>
      </c>
      <c r="K497" t="s">
        <v>1477</v>
      </c>
      <c r="L497">
        <v>3</v>
      </c>
      <c r="M497" t="s">
        <v>12</v>
      </c>
      <c r="N497">
        <v>1</v>
      </c>
      <c r="O497" t="s">
        <v>13</v>
      </c>
      <c r="P497">
        <v>10</v>
      </c>
      <c r="Q497" s="4">
        <v>45802</v>
      </c>
      <c r="R497" s="4"/>
      <c r="S497" t="str">
        <f>TEXT(Table1[[#This Row],[Hiring Date]],"mmmm")</f>
        <v>May</v>
      </c>
      <c r="T497" s="1">
        <f>COUNTIF(S:S,Table1[[#This Row],[Months List]])</f>
        <v>0</v>
      </c>
      <c r="U497" t="str">
        <f>TEXT(Table1[[#This Row],[Hiring Date]],"dddd")</f>
        <v>Sunday</v>
      </c>
      <c r="V497" s="1" t="str">
        <f>TEXT(Table1[[#This Row],[Hiring Date]],"yyyy")</f>
        <v>2025</v>
      </c>
    </row>
    <row r="498" spans="1:22">
      <c r="A498" t="s">
        <v>1443</v>
      </c>
      <c r="B498">
        <v>33</v>
      </c>
      <c r="C498">
        <v>501</v>
      </c>
      <c r="D498" t="s">
        <v>14</v>
      </c>
      <c r="E498" t="s">
        <v>1495</v>
      </c>
      <c r="F498" t="s">
        <v>1499</v>
      </c>
      <c r="G498">
        <v>95</v>
      </c>
      <c r="H498">
        <v>3</v>
      </c>
      <c r="I498">
        <v>2</v>
      </c>
      <c r="J498" t="s">
        <v>1478</v>
      </c>
      <c r="K498" t="s">
        <v>1479</v>
      </c>
      <c r="L498">
        <v>4</v>
      </c>
      <c r="M498" t="s">
        <v>15</v>
      </c>
      <c r="N498">
        <v>0</v>
      </c>
      <c r="O498" t="s">
        <v>10</v>
      </c>
      <c r="P498">
        <v>10</v>
      </c>
      <c r="Q498" s="4">
        <v>45738</v>
      </c>
      <c r="R498" s="4"/>
      <c r="S498" t="str">
        <f>TEXT(Table1[[#This Row],[Hiring Date]],"mmmm")</f>
        <v>March</v>
      </c>
      <c r="T498" s="1">
        <f>COUNTIF(S:S,Table1[[#This Row],[Months List]])</f>
        <v>0</v>
      </c>
      <c r="U498" t="str">
        <f>TEXT(Table1[[#This Row],[Hiring Date]],"dddd")</f>
        <v>Saturday</v>
      </c>
      <c r="V498" s="1" t="str">
        <f>TEXT(Table1[[#This Row],[Hiring Date]],"yyyy")</f>
        <v>2025</v>
      </c>
    </row>
    <row r="499" spans="1:22">
      <c r="A499" t="s">
        <v>1444</v>
      </c>
      <c r="B499">
        <v>32</v>
      </c>
      <c r="C499">
        <v>267</v>
      </c>
      <c r="D499" t="s">
        <v>14</v>
      </c>
      <c r="E499" t="s">
        <v>1497</v>
      </c>
      <c r="F499" t="s">
        <v>1499</v>
      </c>
      <c r="G499">
        <v>49</v>
      </c>
      <c r="H499">
        <v>2</v>
      </c>
      <c r="I499">
        <v>1</v>
      </c>
      <c r="J499" t="s">
        <v>1484</v>
      </c>
      <c r="K499" t="s">
        <v>1485</v>
      </c>
      <c r="L499">
        <v>2</v>
      </c>
      <c r="M499" t="s">
        <v>12</v>
      </c>
      <c r="N499">
        <v>1</v>
      </c>
      <c r="O499" t="s">
        <v>13</v>
      </c>
      <c r="P499">
        <v>6</v>
      </c>
      <c r="Q499" s="4">
        <v>45962</v>
      </c>
      <c r="R499" s="4"/>
      <c r="S499" t="str">
        <f>TEXT(Table1[[#This Row],[Hiring Date]],"mmmm")</f>
        <v>November</v>
      </c>
      <c r="T499" s="1">
        <f>COUNTIF(S:S,Table1[[#This Row],[Months List]])</f>
        <v>0</v>
      </c>
      <c r="U499" t="str">
        <f>TEXT(Table1[[#This Row],[Hiring Date]],"dddd")</f>
        <v>Saturday</v>
      </c>
      <c r="V499" s="1" t="str">
        <f>TEXT(Table1[[#This Row],[Hiring Date]],"yyyy")</f>
        <v>2025</v>
      </c>
    </row>
    <row r="500" spans="1:22">
      <c r="A500" t="s">
        <v>1445</v>
      </c>
      <c r="B500">
        <v>40</v>
      </c>
      <c r="C500">
        <v>543</v>
      </c>
      <c r="D500" t="s">
        <v>14</v>
      </c>
      <c r="E500" t="s">
        <v>1497</v>
      </c>
      <c r="F500" t="s">
        <v>1496</v>
      </c>
      <c r="G500">
        <v>83</v>
      </c>
      <c r="H500">
        <v>3</v>
      </c>
      <c r="I500">
        <v>1</v>
      </c>
      <c r="J500" t="s">
        <v>1484</v>
      </c>
      <c r="K500" t="s">
        <v>1485</v>
      </c>
      <c r="L500">
        <v>4</v>
      </c>
      <c r="M500" t="s">
        <v>15</v>
      </c>
      <c r="N500">
        <v>8</v>
      </c>
      <c r="O500" t="s">
        <v>13</v>
      </c>
      <c r="P500">
        <v>8</v>
      </c>
      <c r="Q500" s="4">
        <v>45687</v>
      </c>
      <c r="R500" s="4"/>
      <c r="S500" t="str">
        <f>TEXT(Table1[[#This Row],[Hiring Date]],"mmmm")</f>
        <v>January</v>
      </c>
      <c r="T500" s="1">
        <f>COUNTIF(S:S,Table1[[#This Row],[Months List]])</f>
        <v>0</v>
      </c>
      <c r="U500" t="str">
        <f>TEXT(Table1[[#This Row],[Hiring Date]],"dddd")</f>
        <v>Thursday</v>
      </c>
      <c r="V500" s="1" t="str">
        <f>TEXT(Table1[[#This Row],[Hiring Date]],"yyyy")</f>
        <v>2025</v>
      </c>
    </row>
    <row r="501" spans="1:22">
      <c r="A501" t="s">
        <v>1446</v>
      </c>
      <c r="B501">
        <v>32</v>
      </c>
      <c r="C501">
        <v>234</v>
      </c>
      <c r="D501" t="s">
        <v>11</v>
      </c>
      <c r="E501" t="s">
        <v>1495</v>
      </c>
      <c r="F501" t="s">
        <v>1496</v>
      </c>
      <c r="G501">
        <v>68</v>
      </c>
      <c r="H501">
        <v>2</v>
      </c>
      <c r="I501">
        <v>1</v>
      </c>
      <c r="J501" t="s">
        <v>1489</v>
      </c>
      <c r="K501" t="s">
        <v>1490</v>
      </c>
      <c r="L501">
        <v>2</v>
      </c>
      <c r="M501" t="s">
        <v>15</v>
      </c>
      <c r="N501">
        <v>0</v>
      </c>
      <c r="O501" t="s">
        <v>13</v>
      </c>
      <c r="P501">
        <v>3</v>
      </c>
      <c r="Q501" s="4">
        <v>45901</v>
      </c>
      <c r="R501" s="4"/>
      <c r="S501" t="str">
        <f>TEXT(Table1[[#This Row],[Hiring Date]],"mmmm")</f>
        <v>September</v>
      </c>
      <c r="T501" s="1">
        <f>COUNTIF(S:S,Table1[[#This Row],[Months List]])</f>
        <v>0</v>
      </c>
      <c r="U501" t="str">
        <f>TEXT(Table1[[#This Row],[Hiring Date]],"dddd")</f>
        <v>Monday</v>
      </c>
      <c r="V501" s="1" t="str">
        <f>TEXT(Table1[[#This Row],[Hiring Date]],"yyyy")</f>
        <v>2025</v>
      </c>
    </row>
    <row r="502" spans="1:22">
      <c r="A502" t="s">
        <v>151</v>
      </c>
      <c r="B502">
        <v>41</v>
      </c>
      <c r="C502">
        <v>802</v>
      </c>
      <c r="D502" t="s">
        <v>11</v>
      </c>
      <c r="E502" t="s">
        <v>1497</v>
      </c>
      <c r="F502" t="s">
        <v>1496</v>
      </c>
      <c r="G502">
        <v>96</v>
      </c>
      <c r="H502">
        <v>3</v>
      </c>
      <c r="I502">
        <v>3</v>
      </c>
      <c r="J502" t="s">
        <v>1474</v>
      </c>
      <c r="K502" t="s">
        <v>1475</v>
      </c>
      <c r="L502">
        <v>3</v>
      </c>
      <c r="M502" t="s">
        <v>16</v>
      </c>
      <c r="N502">
        <v>3</v>
      </c>
      <c r="O502" t="s">
        <v>10</v>
      </c>
      <c r="P502">
        <v>12</v>
      </c>
      <c r="Q502" s="4">
        <v>45992</v>
      </c>
      <c r="R502" s="4"/>
      <c r="S502" t="str">
        <f>TEXT(Table1[[#This Row],[Hiring Date]],"mmmm")</f>
        <v>December</v>
      </c>
      <c r="T502" s="1">
        <f>COUNTIF(S:S,Table1[[#This Row],[Months List]])</f>
        <v>0</v>
      </c>
      <c r="U502" t="str">
        <f>TEXT(Table1[[#This Row],[Hiring Date]],"dddd")</f>
        <v>Monday</v>
      </c>
      <c r="V502" s="1" t="str">
        <f>TEXT(Table1[[#This Row],[Hiring Date]],"yyyy")</f>
        <v>2025</v>
      </c>
    </row>
    <row r="503" spans="1:22">
      <c r="A503" t="s">
        <v>1447</v>
      </c>
      <c r="B503">
        <v>39</v>
      </c>
      <c r="C503">
        <v>116</v>
      </c>
      <c r="D503" t="s">
        <v>14</v>
      </c>
      <c r="E503" t="s">
        <v>1497</v>
      </c>
      <c r="F503" t="s">
        <v>1496</v>
      </c>
      <c r="G503">
        <v>52</v>
      </c>
      <c r="H503">
        <v>3</v>
      </c>
      <c r="I503">
        <v>2</v>
      </c>
      <c r="J503" t="s">
        <v>1476</v>
      </c>
      <c r="K503" t="s">
        <v>1477</v>
      </c>
      <c r="L503">
        <v>4</v>
      </c>
      <c r="M503" t="s">
        <v>12</v>
      </c>
      <c r="N503">
        <v>7</v>
      </c>
      <c r="O503" t="s">
        <v>13</v>
      </c>
      <c r="P503">
        <v>18</v>
      </c>
      <c r="Q503" s="4">
        <v>45931</v>
      </c>
      <c r="R503" s="4"/>
      <c r="S503" t="str">
        <f>TEXT(Table1[[#This Row],[Hiring Date]],"mmmm")</f>
        <v>October</v>
      </c>
      <c r="T503" s="1">
        <f>COUNTIF(S:S,Table1[[#This Row],[Months List]])</f>
        <v>0</v>
      </c>
      <c r="U503" t="str">
        <f>TEXT(Table1[[#This Row],[Hiring Date]],"dddd")</f>
        <v>Wednesday</v>
      </c>
      <c r="V503" s="1" t="str">
        <f>TEXT(Table1[[#This Row],[Hiring Date]],"yyyy")</f>
        <v>2025</v>
      </c>
    </row>
    <row r="504" spans="1:22">
      <c r="A504" t="s">
        <v>1448</v>
      </c>
      <c r="B504">
        <v>38</v>
      </c>
      <c r="C504">
        <v>201</v>
      </c>
      <c r="D504" t="s">
        <v>14</v>
      </c>
      <c r="E504" t="s">
        <v>1495</v>
      </c>
      <c r="F504" t="s">
        <v>1499</v>
      </c>
      <c r="G504">
        <v>99</v>
      </c>
      <c r="H504">
        <v>1</v>
      </c>
      <c r="I504">
        <v>3</v>
      </c>
      <c r="J504" t="s">
        <v>1487</v>
      </c>
      <c r="K504" t="s">
        <v>1488</v>
      </c>
      <c r="L504">
        <v>3</v>
      </c>
      <c r="M504" t="s">
        <v>15</v>
      </c>
      <c r="N504">
        <v>3</v>
      </c>
      <c r="O504" t="s">
        <v>13</v>
      </c>
      <c r="P504">
        <v>20</v>
      </c>
      <c r="Q504" s="4">
        <v>45719</v>
      </c>
      <c r="R504" s="4"/>
      <c r="S504" t="str">
        <f>TEXT(Table1[[#This Row],[Hiring Date]],"mmmm")</f>
        <v>March</v>
      </c>
      <c r="T504" s="1">
        <f>COUNTIF(S:S,Table1[[#This Row],[Months List]])</f>
        <v>0</v>
      </c>
      <c r="U504" t="str">
        <f>TEXT(Table1[[#This Row],[Hiring Date]],"dddd")</f>
        <v>Monday</v>
      </c>
      <c r="V504" s="1" t="str">
        <f>TEXT(Table1[[#This Row],[Hiring Date]],"yyyy")</f>
        <v>2025</v>
      </c>
    </row>
    <row r="505" spans="1:22">
      <c r="A505" t="s">
        <v>1449</v>
      </c>
      <c r="B505">
        <v>32</v>
      </c>
      <c r="C505">
        <v>801</v>
      </c>
      <c r="D505" t="s">
        <v>11</v>
      </c>
      <c r="E505" t="s">
        <v>1498</v>
      </c>
      <c r="F505" t="s">
        <v>1499</v>
      </c>
      <c r="G505">
        <v>48</v>
      </c>
      <c r="H505">
        <v>3</v>
      </c>
      <c r="I505">
        <v>3</v>
      </c>
      <c r="J505" t="s">
        <v>1474</v>
      </c>
      <c r="K505" t="s">
        <v>1475</v>
      </c>
      <c r="L505">
        <v>4</v>
      </c>
      <c r="M505" t="s">
        <v>15</v>
      </c>
      <c r="N505">
        <v>1</v>
      </c>
      <c r="O505" t="s">
        <v>13</v>
      </c>
      <c r="P505">
        <v>14</v>
      </c>
      <c r="Q505" s="4">
        <v>45867</v>
      </c>
      <c r="R505" s="4"/>
      <c r="S505" t="str">
        <f>TEXT(Table1[[#This Row],[Hiring Date]],"mmmm")</f>
        <v>July</v>
      </c>
      <c r="T505" s="1">
        <f>COUNTIF(S:S,Table1[[#This Row],[Months List]])</f>
        <v>0</v>
      </c>
      <c r="U505" t="str">
        <f>TEXT(Table1[[#This Row],[Hiring Date]],"dddd")</f>
        <v>Tuesday</v>
      </c>
      <c r="V505" s="1" t="str">
        <f>TEXT(Table1[[#This Row],[Hiring Date]],"yyyy")</f>
        <v>2025</v>
      </c>
    </row>
    <row r="506" spans="1:22">
      <c r="A506" t="s">
        <v>1450</v>
      </c>
      <c r="B506">
        <v>37</v>
      </c>
      <c r="C506">
        <v>161</v>
      </c>
      <c r="D506" t="s">
        <v>14</v>
      </c>
      <c r="E506" t="s">
        <v>1497</v>
      </c>
      <c r="F506" t="s">
        <v>1499</v>
      </c>
      <c r="G506">
        <v>42</v>
      </c>
      <c r="H506">
        <v>4</v>
      </c>
      <c r="I506">
        <v>3</v>
      </c>
      <c r="J506" t="s">
        <v>1487</v>
      </c>
      <c r="K506" t="s">
        <v>1488</v>
      </c>
      <c r="L506">
        <v>4</v>
      </c>
      <c r="M506" t="s">
        <v>15</v>
      </c>
      <c r="N506">
        <v>1</v>
      </c>
      <c r="O506" t="s">
        <v>10</v>
      </c>
      <c r="P506">
        <v>16</v>
      </c>
      <c r="Q506" s="4">
        <v>45967</v>
      </c>
      <c r="R506" s="4"/>
      <c r="S506" t="str">
        <f>TEXT(Table1[[#This Row],[Hiring Date]],"mmmm")</f>
        <v>November</v>
      </c>
      <c r="T506" s="1">
        <f>COUNTIF(S:S,Table1[[#This Row],[Months List]])</f>
        <v>0</v>
      </c>
      <c r="U506" t="str">
        <f>TEXT(Table1[[#This Row],[Hiring Date]],"dddd")</f>
        <v>Thursday</v>
      </c>
      <c r="V506" s="1" t="str">
        <f>TEXT(Table1[[#This Row],[Hiring Date]],"yyyy")</f>
        <v>2025</v>
      </c>
    </row>
    <row r="507" spans="1:22">
      <c r="A507" t="s">
        <v>1451</v>
      </c>
      <c r="B507">
        <v>25</v>
      </c>
      <c r="C507">
        <v>1382</v>
      </c>
      <c r="D507" t="s">
        <v>11</v>
      </c>
      <c r="E507" t="s">
        <v>1500</v>
      </c>
      <c r="F507" t="s">
        <v>1499</v>
      </c>
      <c r="G507">
        <v>85</v>
      </c>
      <c r="H507">
        <v>3</v>
      </c>
      <c r="I507">
        <v>2</v>
      </c>
      <c r="J507" t="s">
        <v>1474</v>
      </c>
      <c r="K507" t="s">
        <v>1475</v>
      </c>
      <c r="L507">
        <v>3</v>
      </c>
      <c r="M507" t="s">
        <v>16</v>
      </c>
      <c r="N507">
        <v>0</v>
      </c>
      <c r="O507" t="s">
        <v>10</v>
      </c>
      <c r="P507">
        <v>6</v>
      </c>
      <c r="Q507" s="4">
        <v>45785</v>
      </c>
      <c r="R507" s="4"/>
      <c r="S507" t="str">
        <f>TEXT(Table1[[#This Row],[Hiring Date]],"mmmm")</f>
        <v>May</v>
      </c>
      <c r="T507" s="1">
        <f>COUNTIF(S:S,Table1[[#This Row],[Months List]])</f>
        <v>0</v>
      </c>
      <c r="U507" t="str">
        <f>TEXT(Table1[[#This Row],[Hiring Date]],"dddd")</f>
        <v>Thursday</v>
      </c>
      <c r="V507" s="1" t="str">
        <f>TEXT(Table1[[#This Row],[Hiring Date]],"yyyy")</f>
        <v>2025</v>
      </c>
    </row>
    <row r="508" spans="1:22">
      <c r="A508" t="s">
        <v>1452</v>
      </c>
      <c r="B508">
        <v>52</v>
      </c>
      <c r="C508">
        <v>585</v>
      </c>
      <c r="D508" t="s">
        <v>11</v>
      </c>
      <c r="E508" t="s">
        <v>1497</v>
      </c>
      <c r="F508" t="s">
        <v>1496</v>
      </c>
      <c r="G508">
        <v>40</v>
      </c>
      <c r="H508">
        <v>3</v>
      </c>
      <c r="I508">
        <v>1</v>
      </c>
      <c r="J508" t="s">
        <v>1489</v>
      </c>
      <c r="K508" t="s">
        <v>1490</v>
      </c>
      <c r="L508">
        <v>4</v>
      </c>
      <c r="M508" t="s">
        <v>16</v>
      </c>
      <c r="N508">
        <v>2</v>
      </c>
      <c r="O508" t="s">
        <v>13</v>
      </c>
      <c r="P508">
        <v>16</v>
      </c>
      <c r="Q508" s="4">
        <v>45767</v>
      </c>
      <c r="R508" s="4"/>
      <c r="S508" t="str">
        <f>TEXT(Table1[[#This Row],[Hiring Date]],"mmmm")</f>
        <v>April</v>
      </c>
      <c r="T508" s="1">
        <f>COUNTIF(S:S,Table1[[#This Row],[Months List]])</f>
        <v>0</v>
      </c>
      <c r="U508" t="str">
        <f>TEXT(Table1[[#This Row],[Hiring Date]],"dddd")</f>
        <v>Sunday</v>
      </c>
      <c r="V508" s="1" t="str">
        <f>TEXT(Table1[[#This Row],[Hiring Date]],"yyyy")</f>
        <v>2025</v>
      </c>
    </row>
    <row r="509" spans="1:22">
      <c r="A509" t="s">
        <v>1453</v>
      </c>
      <c r="B509">
        <v>44</v>
      </c>
      <c r="C509">
        <v>1037</v>
      </c>
      <c r="D509" t="s">
        <v>14</v>
      </c>
      <c r="E509" t="s">
        <v>1495</v>
      </c>
      <c r="F509" t="s">
        <v>1496</v>
      </c>
      <c r="G509">
        <v>42</v>
      </c>
      <c r="H509">
        <v>3</v>
      </c>
      <c r="I509">
        <v>1</v>
      </c>
      <c r="J509" t="s">
        <v>1476</v>
      </c>
      <c r="K509" t="s">
        <v>1477</v>
      </c>
      <c r="L509">
        <v>4</v>
      </c>
      <c r="M509" t="s">
        <v>12</v>
      </c>
      <c r="N509">
        <v>6</v>
      </c>
      <c r="O509" t="s">
        <v>10</v>
      </c>
      <c r="P509">
        <v>6</v>
      </c>
      <c r="Q509" s="4">
        <v>45868</v>
      </c>
      <c r="R509" s="4"/>
      <c r="S509" t="str">
        <f>TEXT(Table1[[#This Row],[Hiring Date]],"mmmm")</f>
        <v>July</v>
      </c>
      <c r="T509" s="1">
        <f>COUNTIF(S:S,Table1[[#This Row],[Months List]])</f>
        <v>0</v>
      </c>
      <c r="U509" t="str">
        <f>TEXT(Table1[[#This Row],[Hiring Date]],"dddd")</f>
        <v>Wednesday</v>
      </c>
      <c r="V509" s="1" t="str">
        <f>TEXT(Table1[[#This Row],[Hiring Date]],"yyyy")</f>
        <v>2025</v>
      </c>
    </row>
    <row r="510" spans="1:22">
      <c r="A510" t="s">
        <v>1454</v>
      </c>
      <c r="B510">
        <v>21</v>
      </c>
      <c r="C510">
        <v>501</v>
      </c>
      <c r="D510" t="s">
        <v>11</v>
      </c>
      <c r="E510" t="s">
        <v>1495</v>
      </c>
      <c r="F510" t="s">
        <v>1496</v>
      </c>
      <c r="G510">
        <v>58</v>
      </c>
      <c r="H510">
        <v>3</v>
      </c>
      <c r="I510">
        <v>1</v>
      </c>
      <c r="J510" t="s">
        <v>1489</v>
      </c>
      <c r="K510" t="s">
        <v>1490</v>
      </c>
      <c r="L510">
        <v>1</v>
      </c>
      <c r="M510" t="s">
        <v>12</v>
      </c>
      <c r="N510">
        <v>1</v>
      </c>
      <c r="O510" t="s">
        <v>10</v>
      </c>
      <c r="P510">
        <v>2</v>
      </c>
      <c r="Q510" s="4">
        <v>45793</v>
      </c>
      <c r="R510" s="4"/>
      <c r="S510" t="str">
        <f>TEXT(Table1[[#This Row],[Hiring Date]],"mmmm")</f>
        <v>May</v>
      </c>
      <c r="T510" s="1">
        <f>COUNTIF(S:S,Table1[[#This Row],[Months List]])</f>
        <v>0</v>
      </c>
      <c r="U510" t="str">
        <f>TEXT(Table1[[#This Row],[Hiring Date]],"dddd")</f>
        <v>Friday</v>
      </c>
      <c r="V510" s="1" t="str">
        <f>TEXT(Table1[[#This Row],[Hiring Date]],"yyyy")</f>
        <v>2025</v>
      </c>
    </row>
    <row r="511" spans="1:22">
      <c r="A511" t="s">
        <v>1455</v>
      </c>
      <c r="B511">
        <v>39</v>
      </c>
      <c r="C511">
        <v>105</v>
      </c>
      <c r="D511" t="s">
        <v>14</v>
      </c>
      <c r="E511" t="s">
        <v>1497</v>
      </c>
      <c r="F511" t="s">
        <v>1496</v>
      </c>
      <c r="G511">
        <v>87</v>
      </c>
      <c r="H511">
        <v>3</v>
      </c>
      <c r="I511">
        <v>5</v>
      </c>
      <c r="J511" t="s">
        <v>1482</v>
      </c>
      <c r="K511" t="s">
        <v>1483</v>
      </c>
      <c r="L511">
        <v>4</v>
      </c>
      <c r="M511" t="s">
        <v>12</v>
      </c>
      <c r="N511">
        <v>2</v>
      </c>
      <c r="O511" t="s">
        <v>13</v>
      </c>
      <c r="P511">
        <v>21</v>
      </c>
      <c r="Q511" s="4">
        <v>45927</v>
      </c>
      <c r="R511" s="4"/>
      <c r="S511" t="str">
        <f>TEXT(Table1[[#This Row],[Hiring Date]],"mmmm")</f>
        <v>September</v>
      </c>
      <c r="T511" s="1">
        <f>COUNTIF(S:S,Table1[[#This Row],[Months List]])</f>
        <v>0</v>
      </c>
      <c r="U511" t="str">
        <f>TEXT(Table1[[#This Row],[Hiring Date]],"dddd")</f>
        <v>Saturday</v>
      </c>
      <c r="V511" s="1" t="str">
        <f>TEXT(Table1[[#This Row],[Hiring Date]],"yyyy")</f>
        <v>2025</v>
      </c>
    </row>
    <row r="512" spans="1:22">
      <c r="A512" t="s">
        <v>1456</v>
      </c>
      <c r="B512">
        <v>23</v>
      </c>
      <c r="C512">
        <v>638</v>
      </c>
      <c r="D512" t="s">
        <v>11</v>
      </c>
      <c r="E512" t="s">
        <v>1498</v>
      </c>
      <c r="F512" t="s">
        <v>1496</v>
      </c>
      <c r="G512">
        <v>33</v>
      </c>
      <c r="H512">
        <v>3</v>
      </c>
      <c r="I512">
        <v>1</v>
      </c>
      <c r="J512" t="s">
        <v>1489</v>
      </c>
      <c r="K512" t="s">
        <v>1490</v>
      </c>
      <c r="L512">
        <v>1</v>
      </c>
      <c r="M512" t="s">
        <v>15</v>
      </c>
      <c r="N512">
        <v>1</v>
      </c>
      <c r="O512" t="s">
        <v>13</v>
      </c>
      <c r="P512">
        <v>1</v>
      </c>
      <c r="Q512" s="4">
        <v>45880</v>
      </c>
      <c r="R512" s="4"/>
      <c r="S512" t="str">
        <f>TEXT(Table1[[#This Row],[Hiring Date]],"mmmm")</f>
        <v>August</v>
      </c>
      <c r="T512" s="1">
        <f>COUNTIF(S:S,Table1[[#This Row],[Months List]])</f>
        <v>0</v>
      </c>
      <c r="U512" t="str">
        <f>TEXT(Table1[[#This Row],[Hiring Date]],"dddd")</f>
        <v>Monday</v>
      </c>
      <c r="V512" s="1" t="str">
        <f>TEXT(Table1[[#This Row],[Hiring Date]],"yyyy")</f>
        <v>2025</v>
      </c>
    </row>
    <row r="513" spans="1:22">
      <c r="A513" t="s">
        <v>152</v>
      </c>
      <c r="B513">
        <v>26</v>
      </c>
      <c r="C513">
        <v>1355</v>
      </c>
      <c r="D513" t="s">
        <v>17</v>
      </c>
      <c r="E513" t="s">
        <v>1497</v>
      </c>
      <c r="F513" t="s">
        <v>1499</v>
      </c>
      <c r="G513">
        <v>61</v>
      </c>
      <c r="H513">
        <v>3</v>
      </c>
      <c r="I513">
        <v>1</v>
      </c>
      <c r="J513" t="s">
        <v>1486</v>
      </c>
      <c r="K513" t="s">
        <v>17</v>
      </c>
      <c r="L513">
        <v>3</v>
      </c>
      <c r="M513" t="s">
        <v>15</v>
      </c>
      <c r="N513">
        <v>1</v>
      </c>
      <c r="O513" t="s">
        <v>13</v>
      </c>
      <c r="P513">
        <v>8</v>
      </c>
      <c r="Q513" s="4">
        <v>45802</v>
      </c>
      <c r="R513" s="4"/>
      <c r="S513" t="str">
        <f>TEXT(Table1[[#This Row],[Hiring Date]],"mmmm")</f>
        <v>May</v>
      </c>
      <c r="T513" s="1">
        <f>COUNTIF(S:S,Table1[[#This Row],[Months List]])</f>
        <v>0</v>
      </c>
      <c r="U513" t="str">
        <f>TEXT(Table1[[#This Row],[Hiring Date]],"dddd")</f>
        <v>Sunday</v>
      </c>
      <c r="V513" s="1" t="str">
        <f>TEXT(Table1[[#This Row],[Hiring Date]],"yyyy")</f>
        <v>2025</v>
      </c>
    </row>
    <row r="514" spans="1:22">
      <c r="A514" t="s">
        <v>1457</v>
      </c>
      <c r="B514">
        <v>36</v>
      </c>
      <c r="C514">
        <v>557</v>
      </c>
      <c r="D514" t="s">
        <v>11</v>
      </c>
      <c r="E514" t="s">
        <v>1495</v>
      </c>
      <c r="F514" t="s">
        <v>1499</v>
      </c>
      <c r="G514">
        <v>94</v>
      </c>
      <c r="H514">
        <v>2</v>
      </c>
      <c r="I514">
        <v>3</v>
      </c>
      <c r="J514" t="s">
        <v>1474</v>
      </c>
      <c r="K514" t="s">
        <v>1475</v>
      </c>
      <c r="L514">
        <v>4</v>
      </c>
      <c r="M514" t="s">
        <v>15</v>
      </c>
      <c r="N514">
        <v>0</v>
      </c>
      <c r="O514" t="s">
        <v>13</v>
      </c>
      <c r="P514">
        <v>10</v>
      </c>
      <c r="Q514" s="4">
        <v>45826</v>
      </c>
      <c r="R514" s="4"/>
      <c r="S514" t="str">
        <f>TEXT(Table1[[#This Row],[Hiring Date]],"mmmm")</f>
        <v>June</v>
      </c>
      <c r="T514" s="1">
        <f>COUNTIF(S:S,Table1[[#This Row],[Months List]])</f>
        <v>0</v>
      </c>
      <c r="U514" t="str">
        <f>TEXT(Table1[[#This Row],[Hiring Date]],"dddd")</f>
        <v>Wednesday</v>
      </c>
      <c r="V514" s="1" t="str">
        <f>TEXT(Table1[[#This Row],[Hiring Date]],"yyyy")</f>
        <v>2025</v>
      </c>
    </row>
    <row r="515" spans="1:22">
      <c r="A515" t="s">
        <v>1458</v>
      </c>
      <c r="B515">
        <v>36</v>
      </c>
      <c r="C515">
        <v>688</v>
      </c>
      <c r="D515" t="s">
        <v>14</v>
      </c>
      <c r="E515" t="s">
        <v>1497</v>
      </c>
      <c r="F515" t="s">
        <v>1499</v>
      </c>
      <c r="G515">
        <v>97</v>
      </c>
      <c r="H515">
        <v>3</v>
      </c>
      <c r="I515">
        <v>2</v>
      </c>
      <c r="J515" t="s">
        <v>1480</v>
      </c>
      <c r="K515" t="s">
        <v>1481</v>
      </c>
      <c r="L515">
        <v>2</v>
      </c>
      <c r="M515" t="s">
        <v>16</v>
      </c>
      <c r="N515">
        <v>7</v>
      </c>
      <c r="O515" t="s">
        <v>13</v>
      </c>
      <c r="P515">
        <v>18</v>
      </c>
      <c r="Q515" s="4">
        <v>45729</v>
      </c>
      <c r="R515" s="4"/>
      <c r="S515" t="str">
        <f>TEXT(Table1[[#This Row],[Hiring Date]],"mmmm")</f>
        <v>March</v>
      </c>
      <c r="T515" s="1">
        <f>COUNTIF(S:S,Table1[[#This Row],[Months List]])</f>
        <v>0</v>
      </c>
      <c r="U515" t="str">
        <f>TEXT(Table1[[#This Row],[Hiring Date]],"dddd")</f>
        <v>Thursday</v>
      </c>
      <c r="V515" s="1" t="str">
        <f>TEXT(Table1[[#This Row],[Hiring Date]],"yyyy")</f>
        <v>2025</v>
      </c>
    </row>
    <row r="516" spans="1:22">
      <c r="A516" t="s">
        <v>1459</v>
      </c>
      <c r="B516">
        <v>56</v>
      </c>
      <c r="C516">
        <v>667</v>
      </c>
      <c r="D516" t="s">
        <v>14</v>
      </c>
      <c r="E516" t="s">
        <v>1497</v>
      </c>
      <c r="F516" t="s">
        <v>1496</v>
      </c>
      <c r="G516">
        <v>57</v>
      </c>
      <c r="H516">
        <v>3</v>
      </c>
      <c r="I516">
        <v>2</v>
      </c>
      <c r="J516" t="s">
        <v>1478</v>
      </c>
      <c r="K516" t="s">
        <v>1479</v>
      </c>
      <c r="L516">
        <v>3</v>
      </c>
      <c r="M516" t="s">
        <v>16</v>
      </c>
      <c r="N516">
        <v>1</v>
      </c>
      <c r="O516" t="s">
        <v>13</v>
      </c>
      <c r="P516">
        <v>13</v>
      </c>
      <c r="Q516" s="4">
        <v>45891</v>
      </c>
      <c r="R516" s="4"/>
      <c r="S516" t="str">
        <f>TEXT(Table1[[#This Row],[Hiring Date]],"mmmm")</f>
        <v>August</v>
      </c>
      <c r="T516" s="1">
        <f>COUNTIF(S:S,Table1[[#This Row],[Months List]])</f>
        <v>0</v>
      </c>
      <c r="U516" t="str">
        <f>TEXT(Table1[[#This Row],[Hiring Date]],"dddd")</f>
        <v>Friday</v>
      </c>
      <c r="V516" s="1" t="str">
        <f>TEXT(Table1[[#This Row],[Hiring Date]],"yyyy")</f>
        <v>2025</v>
      </c>
    </row>
    <row r="517" spans="1:22">
      <c r="A517" t="s">
        <v>1460</v>
      </c>
      <c r="B517">
        <v>29</v>
      </c>
      <c r="C517">
        <v>1092</v>
      </c>
      <c r="D517" t="s">
        <v>14</v>
      </c>
      <c r="E517" t="s">
        <v>1495</v>
      </c>
      <c r="F517" t="s">
        <v>1496</v>
      </c>
      <c r="G517">
        <v>36</v>
      </c>
      <c r="H517">
        <v>3</v>
      </c>
      <c r="I517">
        <v>1</v>
      </c>
      <c r="J517" t="s">
        <v>1476</v>
      </c>
      <c r="K517" t="s">
        <v>1477</v>
      </c>
      <c r="L517">
        <v>4</v>
      </c>
      <c r="M517" t="s">
        <v>15</v>
      </c>
      <c r="N517">
        <v>9</v>
      </c>
      <c r="O517" t="s">
        <v>10</v>
      </c>
      <c r="P517">
        <v>4</v>
      </c>
      <c r="Q517" s="4">
        <v>45826</v>
      </c>
      <c r="R517" s="4"/>
      <c r="S517" t="str">
        <f>TEXT(Table1[[#This Row],[Hiring Date]],"mmmm")</f>
        <v>June</v>
      </c>
      <c r="T517" s="1">
        <f>COUNTIF(S:S,Table1[[#This Row],[Months List]])</f>
        <v>0</v>
      </c>
      <c r="U517" t="str">
        <f>TEXT(Table1[[#This Row],[Hiring Date]],"dddd")</f>
        <v>Wednesday</v>
      </c>
      <c r="V517" s="1" t="str">
        <f>TEXT(Table1[[#This Row],[Hiring Date]],"yyyy")</f>
        <v>2025</v>
      </c>
    </row>
    <row r="518" spans="1:22">
      <c r="A518" t="s">
        <v>1461</v>
      </c>
      <c r="B518">
        <v>42</v>
      </c>
      <c r="C518">
        <v>300</v>
      </c>
      <c r="D518" t="s">
        <v>14</v>
      </c>
      <c r="E518" t="s">
        <v>1497</v>
      </c>
      <c r="F518" t="s">
        <v>1496</v>
      </c>
      <c r="G518">
        <v>56</v>
      </c>
      <c r="H518">
        <v>3</v>
      </c>
      <c r="I518">
        <v>5</v>
      </c>
      <c r="J518" t="s">
        <v>1482</v>
      </c>
      <c r="K518" t="s">
        <v>1483</v>
      </c>
      <c r="L518">
        <v>3</v>
      </c>
      <c r="M518" t="s">
        <v>15</v>
      </c>
      <c r="N518">
        <v>5</v>
      </c>
      <c r="O518" t="s">
        <v>13</v>
      </c>
      <c r="P518">
        <v>24</v>
      </c>
      <c r="Q518" s="4">
        <v>45787</v>
      </c>
      <c r="R518" s="4"/>
      <c r="S518" t="str">
        <f>TEXT(Table1[[#This Row],[Hiring Date]],"mmmm")</f>
        <v>May</v>
      </c>
      <c r="T518" s="1">
        <f>COUNTIF(S:S,Table1[[#This Row],[Months List]])</f>
        <v>0</v>
      </c>
      <c r="U518" t="str">
        <f>TEXT(Table1[[#This Row],[Hiring Date]],"dddd")</f>
        <v>Saturday</v>
      </c>
      <c r="V518" s="1" t="str">
        <f>TEXT(Table1[[#This Row],[Hiring Date]],"yyyy")</f>
        <v>2025</v>
      </c>
    </row>
    <row r="519" spans="1:22">
      <c r="A519" t="s">
        <v>1462</v>
      </c>
      <c r="B519">
        <v>56</v>
      </c>
      <c r="C519">
        <v>310</v>
      </c>
      <c r="D519" t="s">
        <v>14</v>
      </c>
      <c r="E519" t="s">
        <v>1501</v>
      </c>
      <c r="F519" t="s">
        <v>1496</v>
      </c>
      <c r="G519">
        <v>72</v>
      </c>
      <c r="H519">
        <v>3</v>
      </c>
      <c r="I519">
        <v>1</v>
      </c>
      <c r="J519" t="s">
        <v>1484</v>
      </c>
      <c r="K519" t="s">
        <v>1485</v>
      </c>
      <c r="L519">
        <v>3</v>
      </c>
      <c r="M519" t="s">
        <v>15</v>
      </c>
      <c r="N519">
        <v>8</v>
      </c>
      <c r="O519" t="s">
        <v>13</v>
      </c>
      <c r="P519">
        <v>14</v>
      </c>
      <c r="Q519" s="4">
        <v>45897</v>
      </c>
      <c r="R519" s="4"/>
      <c r="S519" t="str">
        <f>TEXT(Table1[[#This Row],[Hiring Date]],"mmmm")</f>
        <v>August</v>
      </c>
      <c r="T519" s="1">
        <f>COUNTIF(S:S,Table1[[#This Row],[Months List]])</f>
        <v>0</v>
      </c>
      <c r="U519" t="str">
        <f>TEXT(Table1[[#This Row],[Hiring Date]],"dddd")</f>
        <v>Thursday</v>
      </c>
      <c r="V519" s="1" t="str">
        <f>TEXT(Table1[[#This Row],[Hiring Date]],"yyyy")</f>
        <v>2025</v>
      </c>
    </row>
    <row r="520" spans="1:22">
      <c r="A520" t="s">
        <v>1463</v>
      </c>
      <c r="B520">
        <v>41</v>
      </c>
      <c r="C520">
        <v>582</v>
      </c>
      <c r="D520" t="s">
        <v>14</v>
      </c>
      <c r="E520" t="s">
        <v>1497</v>
      </c>
      <c r="F520" t="s">
        <v>1499</v>
      </c>
      <c r="G520">
        <v>60</v>
      </c>
      <c r="H520">
        <v>2</v>
      </c>
      <c r="I520">
        <v>4</v>
      </c>
      <c r="J520" t="s">
        <v>1480</v>
      </c>
      <c r="K520" t="s">
        <v>1481</v>
      </c>
      <c r="L520">
        <v>2</v>
      </c>
      <c r="M520" t="s">
        <v>15</v>
      </c>
      <c r="N520">
        <v>0</v>
      </c>
      <c r="O520" t="s">
        <v>13</v>
      </c>
      <c r="P520">
        <v>21</v>
      </c>
      <c r="Q520" s="4">
        <v>45748</v>
      </c>
      <c r="R520" s="4"/>
      <c r="S520" t="str">
        <f>TEXT(Table1[[#This Row],[Hiring Date]],"mmmm")</f>
        <v>April</v>
      </c>
      <c r="T520" s="1">
        <f>COUNTIF(S:S,Table1[[#This Row],[Months List]])</f>
        <v>0</v>
      </c>
      <c r="U520" t="str">
        <f>TEXT(Table1[[#This Row],[Hiring Date]],"dddd")</f>
        <v>Tuesday</v>
      </c>
      <c r="V520" s="1" t="str">
        <f>TEXT(Table1[[#This Row],[Hiring Date]],"yyyy")</f>
        <v>2025</v>
      </c>
    </row>
    <row r="521" spans="1:22">
      <c r="A521" t="s">
        <v>1464</v>
      </c>
      <c r="B521">
        <v>34</v>
      </c>
      <c r="C521">
        <v>704</v>
      </c>
      <c r="D521" t="s">
        <v>11</v>
      </c>
      <c r="E521" t="s">
        <v>1498</v>
      </c>
      <c r="F521" t="s">
        <v>1499</v>
      </c>
      <c r="G521">
        <v>95</v>
      </c>
      <c r="H521">
        <v>2</v>
      </c>
      <c r="I521">
        <v>2</v>
      </c>
      <c r="J521" t="s">
        <v>1474</v>
      </c>
      <c r="K521" t="s">
        <v>1475</v>
      </c>
      <c r="L521">
        <v>3</v>
      </c>
      <c r="M521" t="s">
        <v>15</v>
      </c>
      <c r="N521">
        <v>1</v>
      </c>
      <c r="O521" t="s">
        <v>13</v>
      </c>
      <c r="P521">
        <v>8</v>
      </c>
      <c r="Q521" s="4">
        <v>45882</v>
      </c>
      <c r="R521" s="4"/>
      <c r="S521" t="str">
        <f>TEXT(Table1[[#This Row],[Hiring Date]],"mmmm")</f>
        <v>August</v>
      </c>
      <c r="T521" s="1">
        <f>COUNTIF(S:S,Table1[[#This Row],[Months List]])</f>
        <v>0</v>
      </c>
      <c r="U521" t="str">
        <f>TEXT(Table1[[#This Row],[Hiring Date]],"dddd")</f>
        <v>Wednesday</v>
      </c>
      <c r="V521" s="1" t="str">
        <f>TEXT(Table1[[#This Row],[Hiring Date]],"yyyy")</f>
        <v>2025</v>
      </c>
    </row>
    <row r="522" spans="1:22">
      <c r="A522" t="s">
        <v>1465</v>
      </c>
      <c r="B522">
        <v>36</v>
      </c>
      <c r="C522">
        <v>301</v>
      </c>
      <c r="D522" t="s">
        <v>11</v>
      </c>
      <c r="E522" t="s">
        <v>1498</v>
      </c>
      <c r="F522" t="s">
        <v>1496</v>
      </c>
      <c r="G522">
        <v>88</v>
      </c>
      <c r="H522">
        <v>1</v>
      </c>
      <c r="I522">
        <v>2</v>
      </c>
      <c r="J522" t="s">
        <v>1474</v>
      </c>
      <c r="K522" t="s">
        <v>1475</v>
      </c>
      <c r="L522">
        <v>4</v>
      </c>
      <c r="M522" t="s">
        <v>16</v>
      </c>
      <c r="N522">
        <v>1</v>
      </c>
      <c r="O522" t="s">
        <v>13</v>
      </c>
      <c r="P522">
        <v>15</v>
      </c>
      <c r="Q522" s="4">
        <v>45865</v>
      </c>
      <c r="R522" s="4"/>
      <c r="S522" t="str">
        <f>TEXT(Table1[[#This Row],[Hiring Date]],"mmmm")</f>
        <v>July</v>
      </c>
      <c r="T522" s="1">
        <f>COUNTIF(S:S,Table1[[#This Row],[Months List]])</f>
        <v>0</v>
      </c>
      <c r="U522" t="str">
        <f>TEXT(Table1[[#This Row],[Hiring Date]],"dddd")</f>
        <v>Sunday</v>
      </c>
      <c r="V522" s="1" t="str">
        <f>TEXT(Table1[[#This Row],[Hiring Date]],"yyyy")</f>
        <v>2025</v>
      </c>
    </row>
    <row r="523" spans="1:22">
      <c r="A523" t="s">
        <v>1466</v>
      </c>
      <c r="B523">
        <v>41</v>
      </c>
      <c r="C523">
        <v>930</v>
      </c>
      <c r="D523" t="s">
        <v>11</v>
      </c>
      <c r="E523" t="s">
        <v>1497</v>
      </c>
      <c r="F523" t="s">
        <v>1496</v>
      </c>
      <c r="G523">
        <v>57</v>
      </c>
      <c r="H523">
        <v>2</v>
      </c>
      <c r="I523">
        <v>2</v>
      </c>
      <c r="J523" t="s">
        <v>1474</v>
      </c>
      <c r="K523" t="s">
        <v>1475</v>
      </c>
      <c r="L523">
        <v>2</v>
      </c>
      <c r="M523" t="s">
        <v>16</v>
      </c>
      <c r="N523">
        <v>2</v>
      </c>
      <c r="O523" t="s">
        <v>13</v>
      </c>
      <c r="P523">
        <v>14</v>
      </c>
      <c r="Q523" s="4">
        <v>45702</v>
      </c>
      <c r="R523" s="4"/>
      <c r="S523" t="str">
        <f>TEXT(Table1[[#This Row],[Hiring Date]],"mmmm")</f>
        <v>February</v>
      </c>
      <c r="T523" s="1">
        <f>COUNTIF(S:S,Table1[[#This Row],[Months List]])</f>
        <v>0</v>
      </c>
      <c r="U523" t="str">
        <f>TEXT(Table1[[#This Row],[Hiring Date]],"dddd")</f>
        <v>Friday</v>
      </c>
      <c r="V523" s="1" t="str">
        <f>TEXT(Table1[[#This Row],[Hiring Date]],"yyyy")</f>
        <v>2025</v>
      </c>
    </row>
    <row r="524" spans="1:22">
      <c r="A524" t="s">
        <v>153</v>
      </c>
      <c r="B524">
        <v>36</v>
      </c>
      <c r="C524">
        <v>216</v>
      </c>
      <c r="D524" t="s">
        <v>14</v>
      </c>
      <c r="E524" t="s">
        <v>1495</v>
      </c>
      <c r="F524" t="s">
        <v>1496</v>
      </c>
      <c r="G524">
        <v>84</v>
      </c>
      <c r="H524">
        <v>3</v>
      </c>
      <c r="I524">
        <v>2</v>
      </c>
      <c r="J524" t="s">
        <v>1480</v>
      </c>
      <c r="K524" t="s">
        <v>1481</v>
      </c>
      <c r="L524">
        <v>2</v>
      </c>
      <c r="M524" t="s">
        <v>16</v>
      </c>
      <c r="N524">
        <v>6</v>
      </c>
      <c r="O524" t="s">
        <v>13</v>
      </c>
      <c r="P524">
        <v>7</v>
      </c>
      <c r="Q524" s="4">
        <v>45967</v>
      </c>
      <c r="R524" s="4"/>
      <c r="S524" t="str">
        <f>TEXT(Table1[[#This Row],[Hiring Date]],"mmmm")</f>
        <v>November</v>
      </c>
      <c r="T524" s="1">
        <f>COUNTIF(S:S,Table1[[#This Row],[Months List]])</f>
        <v>0</v>
      </c>
      <c r="U524" t="str">
        <f>TEXT(Table1[[#This Row],[Hiring Date]],"dddd")</f>
        <v>Thursday</v>
      </c>
      <c r="V524" s="1" t="str">
        <f>TEXT(Table1[[#This Row],[Hiring Date]],"yyyy")</f>
        <v>2025</v>
      </c>
    </row>
    <row r="525" spans="1:22">
      <c r="A525" t="s">
        <v>1467</v>
      </c>
      <c r="B525">
        <v>32</v>
      </c>
      <c r="C525">
        <v>529</v>
      </c>
      <c r="D525" t="s">
        <v>14</v>
      </c>
      <c r="E525" t="s">
        <v>1501</v>
      </c>
      <c r="F525" t="s">
        <v>1496</v>
      </c>
      <c r="G525">
        <v>78</v>
      </c>
      <c r="H525">
        <v>3</v>
      </c>
      <c r="I525">
        <v>1</v>
      </c>
      <c r="J525" t="s">
        <v>1476</v>
      </c>
      <c r="K525" t="s">
        <v>1477</v>
      </c>
      <c r="L525">
        <v>1</v>
      </c>
      <c r="M525" t="s">
        <v>12</v>
      </c>
      <c r="N525">
        <v>1</v>
      </c>
      <c r="O525" t="s">
        <v>13</v>
      </c>
      <c r="P525">
        <v>4</v>
      </c>
      <c r="Q525" s="4">
        <v>45937</v>
      </c>
      <c r="R525" s="4"/>
      <c r="S525" t="str">
        <f>TEXT(Table1[[#This Row],[Hiring Date]],"mmmm")</f>
        <v>October</v>
      </c>
      <c r="T525" s="1">
        <f>COUNTIF(S:S,Table1[[#This Row],[Months List]])</f>
        <v>0</v>
      </c>
      <c r="U525" t="str">
        <f>TEXT(Table1[[#This Row],[Hiring Date]],"dddd")</f>
        <v>Tuesday</v>
      </c>
      <c r="V525" s="1" t="str">
        <f>TEXT(Table1[[#This Row],[Hiring Date]],"yyyy")</f>
        <v>2025</v>
      </c>
    </row>
    <row r="526" spans="1:22">
      <c r="A526" t="s">
        <v>1468</v>
      </c>
      <c r="B526">
        <v>35</v>
      </c>
      <c r="C526">
        <v>1146</v>
      </c>
      <c r="D526" t="s">
        <v>17</v>
      </c>
      <c r="E526" t="s">
        <v>1497</v>
      </c>
      <c r="F526" t="s">
        <v>1499</v>
      </c>
      <c r="G526">
        <v>31</v>
      </c>
      <c r="H526">
        <v>3</v>
      </c>
      <c r="I526">
        <v>3</v>
      </c>
      <c r="J526" t="s">
        <v>1486</v>
      </c>
      <c r="K526" t="s">
        <v>17</v>
      </c>
      <c r="L526">
        <v>4</v>
      </c>
      <c r="M526" t="s">
        <v>12</v>
      </c>
      <c r="N526">
        <v>1</v>
      </c>
      <c r="O526" t="s">
        <v>10</v>
      </c>
      <c r="P526">
        <v>9</v>
      </c>
      <c r="Q526" s="4">
        <v>45868</v>
      </c>
      <c r="R526" s="4"/>
      <c r="S526" t="str">
        <f>TEXT(Table1[[#This Row],[Hiring Date]],"mmmm")</f>
        <v>July</v>
      </c>
      <c r="T526" s="1">
        <f>COUNTIF(S:S,Table1[[#This Row],[Months List]])</f>
        <v>0</v>
      </c>
      <c r="U526" t="str">
        <f>TEXT(Table1[[#This Row],[Hiring Date]],"dddd")</f>
        <v>Wednesday</v>
      </c>
      <c r="V526" s="1" t="str">
        <f>TEXT(Table1[[#This Row],[Hiring Date]],"yyyy")</f>
        <v>2025</v>
      </c>
    </row>
    <row r="527" spans="1:22">
      <c r="A527" t="s">
        <v>154</v>
      </c>
      <c r="B527">
        <v>51</v>
      </c>
      <c r="C527">
        <v>1150</v>
      </c>
      <c r="D527" t="s">
        <v>14</v>
      </c>
      <c r="E527" t="s">
        <v>1497</v>
      </c>
      <c r="F527" t="s">
        <v>1496</v>
      </c>
      <c r="G527">
        <v>53</v>
      </c>
      <c r="H527">
        <v>1</v>
      </c>
      <c r="I527">
        <v>3</v>
      </c>
      <c r="J527" t="s">
        <v>1480</v>
      </c>
      <c r="K527" t="s">
        <v>1481</v>
      </c>
      <c r="L527">
        <v>4</v>
      </c>
      <c r="M527" t="s">
        <v>12</v>
      </c>
      <c r="N527">
        <v>2</v>
      </c>
      <c r="O527" t="s">
        <v>13</v>
      </c>
      <c r="P527">
        <v>18</v>
      </c>
      <c r="Q527" s="4">
        <v>45815</v>
      </c>
      <c r="R527" s="4"/>
      <c r="S527" t="str">
        <f>TEXT(Table1[[#This Row],[Hiring Date]],"mmmm")</f>
        <v>June</v>
      </c>
      <c r="T527" s="1">
        <f>COUNTIF(S:S,Table1[[#This Row],[Months List]])</f>
        <v>0</v>
      </c>
      <c r="U527" t="str">
        <f>TEXT(Table1[[#This Row],[Hiring Date]],"dddd")</f>
        <v>Saturday</v>
      </c>
      <c r="V527" s="1" t="str">
        <f>TEXT(Table1[[#This Row],[Hiring Date]],"yyyy")</f>
        <v>2025</v>
      </c>
    </row>
    <row r="528" spans="1:22">
      <c r="A528" t="s">
        <v>1469</v>
      </c>
      <c r="B528">
        <v>49</v>
      </c>
      <c r="C528">
        <v>1023</v>
      </c>
      <c r="D528" t="s">
        <v>11</v>
      </c>
      <c r="E528" t="s">
        <v>1495</v>
      </c>
      <c r="F528" t="s">
        <v>1496</v>
      </c>
      <c r="G528">
        <v>63</v>
      </c>
      <c r="H528">
        <v>2</v>
      </c>
      <c r="I528">
        <v>2</v>
      </c>
      <c r="J528" t="s">
        <v>1474</v>
      </c>
      <c r="K528" t="s">
        <v>1475</v>
      </c>
      <c r="L528">
        <v>2</v>
      </c>
      <c r="M528" t="s">
        <v>15</v>
      </c>
      <c r="N528">
        <v>2</v>
      </c>
      <c r="O528" t="s">
        <v>13</v>
      </c>
      <c r="P528">
        <v>17</v>
      </c>
      <c r="Q528" s="4">
        <v>45685</v>
      </c>
      <c r="R528" s="4"/>
      <c r="S528" t="str">
        <f>TEXT(Table1[[#This Row],[Hiring Date]],"mmmm")</f>
        <v>January</v>
      </c>
      <c r="T528" s="1">
        <f>COUNTIF(S:S,Table1[[#This Row],[Months List]])</f>
        <v>0</v>
      </c>
      <c r="U528" t="str">
        <f>TEXT(Table1[[#This Row],[Hiring Date]],"dddd")</f>
        <v>Tuesday</v>
      </c>
      <c r="V528" s="1" t="str">
        <f>TEXT(Table1[[#This Row],[Hiring Date]],"yyyy")</f>
        <v>2025</v>
      </c>
    </row>
    <row r="529" spans="1:22">
      <c r="A529" t="s">
        <v>155</v>
      </c>
      <c r="B529">
        <v>39</v>
      </c>
      <c r="C529">
        <v>1329</v>
      </c>
      <c r="D529" t="s">
        <v>11</v>
      </c>
      <c r="E529" t="s">
        <v>1497</v>
      </c>
      <c r="F529" t="s">
        <v>1499</v>
      </c>
      <c r="G529">
        <v>47</v>
      </c>
      <c r="H529">
        <v>2</v>
      </c>
      <c r="I529">
        <v>2</v>
      </c>
      <c r="J529" t="s">
        <v>1474</v>
      </c>
      <c r="K529" t="s">
        <v>1475</v>
      </c>
      <c r="L529">
        <v>3</v>
      </c>
      <c r="M529" t="s">
        <v>15</v>
      </c>
      <c r="N529">
        <v>4</v>
      </c>
      <c r="O529" t="s">
        <v>13</v>
      </c>
      <c r="P529">
        <v>17</v>
      </c>
      <c r="Q529" s="4">
        <v>45971</v>
      </c>
      <c r="R529" s="4"/>
      <c r="S529" t="str">
        <f>TEXT(Table1[[#This Row],[Hiring Date]],"mmmm")</f>
        <v>November</v>
      </c>
      <c r="T529" s="1">
        <f>COUNTIF(S:S,Table1[[#This Row],[Months List]])</f>
        <v>0</v>
      </c>
      <c r="U529" t="str">
        <f>TEXT(Table1[[#This Row],[Hiring Date]],"dddd")</f>
        <v>Monday</v>
      </c>
      <c r="V529" s="1" t="str">
        <f>TEXT(Table1[[#This Row],[Hiring Date]],"yyyy")</f>
        <v>2025</v>
      </c>
    </row>
    <row r="530" spans="1:22">
      <c r="A530" t="s">
        <v>1470</v>
      </c>
      <c r="B530">
        <v>34</v>
      </c>
      <c r="C530">
        <v>628</v>
      </c>
      <c r="D530" t="s">
        <v>14</v>
      </c>
      <c r="E530" t="s">
        <v>1495</v>
      </c>
      <c r="F530" t="s">
        <v>1496</v>
      </c>
      <c r="G530">
        <v>82</v>
      </c>
      <c r="H530">
        <v>4</v>
      </c>
      <c r="I530">
        <v>2</v>
      </c>
      <c r="J530" t="s">
        <v>1484</v>
      </c>
      <c r="K530" t="s">
        <v>1485</v>
      </c>
      <c r="L530">
        <v>3</v>
      </c>
      <c r="M530" t="s">
        <v>15</v>
      </c>
      <c r="N530">
        <v>2</v>
      </c>
      <c r="O530" t="s">
        <v>13</v>
      </c>
      <c r="P530">
        <v>6</v>
      </c>
      <c r="Q530" s="4">
        <v>45742</v>
      </c>
      <c r="R530" s="4"/>
      <c r="S530" t="str">
        <f>TEXT(Table1[[#This Row],[Hiring Date]],"mmmm")</f>
        <v>March</v>
      </c>
      <c r="T530" s="1">
        <f>COUNTIF(S:S,Table1[[#This Row],[Months List]])</f>
        <v>0</v>
      </c>
      <c r="U530" t="str">
        <f>TEXT(Table1[[#This Row],[Hiring Date]],"dddd")</f>
        <v>Wednesday</v>
      </c>
      <c r="V530" s="1" t="str">
        <f>TEXT(Table1[[#This Row],[Hiring Date]],"yyyy")</f>
        <v>2025</v>
      </c>
    </row>
    <row r="531" spans="1:22">
      <c r="A531" t="s">
        <v>156</v>
      </c>
      <c r="B531">
        <v>25</v>
      </c>
      <c r="C531">
        <v>959</v>
      </c>
      <c r="D531" t="s">
        <v>11</v>
      </c>
      <c r="E531" t="s">
        <v>1497</v>
      </c>
      <c r="F531" t="s">
        <v>1496</v>
      </c>
      <c r="G531">
        <v>41</v>
      </c>
      <c r="H531">
        <v>2</v>
      </c>
      <c r="I531">
        <v>2</v>
      </c>
      <c r="J531" t="s">
        <v>1474</v>
      </c>
      <c r="K531" t="s">
        <v>1475</v>
      </c>
      <c r="L531">
        <v>3</v>
      </c>
      <c r="M531" t="s">
        <v>15</v>
      </c>
      <c r="N531">
        <v>2</v>
      </c>
      <c r="O531" t="s">
        <v>13</v>
      </c>
      <c r="P531">
        <v>6</v>
      </c>
      <c r="Q531" s="4">
        <v>45786</v>
      </c>
      <c r="R531" s="4"/>
      <c r="S531" t="str">
        <f>TEXT(Table1[[#This Row],[Hiring Date]],"mmmm")</f>
        <v>May</v>
      </c>
      <c r="T531" s="1">
        <f>COUNTIF(S:S,Table1[[#This Row],[Months List]])</f>
        <v>0</v>
      </c>
      <c r="U531" t="str">
        <f>TEXT(Table1[[#This Row],[Hiring Date]],"dddd")</f>
        <v>Friday</v>
      </c>
      <c r="V531" s="1" t="str">
        <f>TEXT(Table1[[#This Row],[Hiring Date]],"yyyy")</f>
        <v>2025</v>
      </c>
    </row>
    <row r="532" spans="1:22">
      <c r="A532" t="s">
        <v>22</v>
      </c>
      <c r="B532">
        <v>27</v>
      </c>
      <c r="C532">
        <v>591</v>
      </c>
      <c r="D532" t="s">
        <v>14</v>
      </c>
      <c r="E532" t="s">
        <v>1495</v>
      </c>
      <c r="F532" t="s">
        <v>1496</v>
      </c>
      <c r="G532">
        <v>40</v>
      </c>
      <c r="H532">
        <v>3</v>
      </c>
      <c r="I532">
        <v>1</v>
      </c>
      <c r="J532" t="s">
        <v>1484</v>
      </c>
      <c r="K532" t="s">
        <v>1485</v>
      </c>
      <c r="L532">
        <v>2</v>
      </c>
      <c r="M532" t="s">
        <v>15</v>
      </c>
      <c r="N532">
        <v>9</v>
      </c>
      <c r="O532" t="s">
        <v>13</v>
      </c>
      <c r="P532">
        <v>6</v>
      </c>
      <c r="Q532" s="4">
        <v>45730</v>
      </c>
      <c r="R532" s="4"/>
      <c r="S532" t="str">
        <f>TEXT(Table1[[#This Row],[Hiring Date]],"mmmm")</f>
        <v>March</v>
      </c>
      <c r="T532" s="1">
        <f>COUNTIF(S:S,Table1[[#This Row],[Months List]])</f>
        <v>0</v>
      </c>
      <c r="U532" t="str">
        <f>TEXT(Table1[[#This Row],[Hiring Date]],"dddd")</f>
        <v>Friday</v>
      </c>
      <c r="V532" s="1" t="str">
        <f>TEXT(Table1[[#This Row],[Hiring Date]],"yyyy")</f>
        <v>2025</v>
      </c>
    </row>
    <row r="533" spans="1:22">
      <c r="A533" t="s">
        <v>157</v>
      </c>
      <c r="B533">
        <v>30</v>
      </c>
      <c r="C533">
        <v>1240</v>
      </c>
      <c r="D533" t="s">
        <v>17</v>
      </c>
      <c r="E533" t="s">
        <v>17</v>
      </c>
      <c r="F533" t="s">
        <v>1496</v>
      </c>
      <c r="G533">
        <v>48</v>
      </c>
      <c r="H533">
        <v>3</v>
      </c>
      <c r="I533">
        <v>2</v>
      </c>
      <c r="J533" t="s">
        <v>1486</v>
      </c>
      <c r="K533" t="s">
        <v>17</v>
      </c>
      <c r="L533">
        <v>4</v>
      </c>
      <c r="M533" t="s">
        <v>15</v>
      </c>
      <c r="N533">
        <v>0</v>
      </c>
      <c r="O533" t="s">
        <v>10</v>
      </c>
      <c r="P533">
        <v>12</v>
      </c>
      <c r="Q533" s="4">
        <v>45719</v>
      </c>
      <c r="R533" s="4"/>
      <c r="S533" t="str">
        <f>TEXT(Table1[[#This Row],[Hiring Date]],"mmmm")</f>
        <v>March</v>
      </c>
      <c r="T533" s="1">
        <f>COUNTIF(S:S,Table1[[#This Row],[Months List]])</f>
        <v>0</v>
      </c>
      <c r="U533" t="str">
        <f>TEXT(Table1[[#This Row],[Hiring Date]],"dddd")</f>
        <v>Monday</v>
      </c>
      <c r="V533" s="1" t="str">
        <f>TEXT(Table1[[#This Row],[Hiring Date]],"yyyy")</f>
        <v>2025</v>
      </c>
    </row>
    <row r="534" spans="1:22">
      <c r="A534" t="s">
        <v>158</v>
      </c>
      <c r="B534">
        <v>32</v>
      </c>
      <c r="C534">
        <v>1033</v>
      </c>
      <c r="D534" t="s">
        <v>14</v>
      </c>
      <c r="E534" t="s">
        <v>1495</v>
      </c>
      <c r="F534" t="s">
        <v>1499</v>
      </c>
      <c r="G534">
        <v>41</v>
      </c>
      <c r="H534">
        <v>3</v>
      </c>
      <c r="I534">
        <v>1</v>
      </c>
      <c r="J534" t="s">
        <v>1484</v>
      </c>
      <c r="K534" t="s">
        <v>1485</v>
      </c>
      <c r="L534">
        <v>1</v>
      </c>
      <c r="M534" t="s">
        <v>12</v>
      </c>
      <c r="N534">
        <v>7</v>
      </c>
      <c r="O534" t="s">
        <v>13</v>
      </c>
      <c r="P534">
        <v>10</v>
      </c>
      <c r="Q534" s="4">
        <v>45978</v>
      </c>
      <c r="R534" s="4"/>
      <c r="S534" t="str">
        <f>TEXT(Table1[[#This Row],[Hiring Date]],"mmmm")</f>
        <v>November</v>
      </c>
      <c r="T534" s="1">
        <f>COUNTIF(S:S,Table1[[#This Row],[Months List]])</f>
        <v>0</v>
      </c>
      <c r="U534" t="str">
        <f>TEXT(Table1[[#This Row],[Hiring Date]],"dddd")</f>
        <v>Monday</v>
      </c>
      <c r="V534" s="1" t="str">
        <f>TEXT(Table1[[#This Row],[Hiring Date]],"yyyy")</f>
        <v>2025</v>
      </c>
    </row>
    <row r="535" spans="1:22">
      <c r="A535" t="s">
        <v>159</v>
      </c>
      <c r="B535">
        <v>45</v>
      </c>
      <c r="C535">
        <v>1316</v>
      </c>
      <c r="D535" t="s">
        <v>14</v>
      </c>
      <c r="E535" t="s">
        <v>1495</v>
      </c>
      <c r="F535" t="s">
        <v>1496</v>
      </c>
      <c r="G535">
        <v>83</v>
      </c>
      <c r="H535">
        <v>3</v>
      </c>
      <c r="I535">
        <v>1</v>
      </c>
      <c r="J535" t="s">
        <v>1476</v>
      </c>
      <c r="K535" t="s">
        <v>1477</v>
      </c>
      <c r="L535">
        <v>4</v>
      </c>
      <c r="M535" t="s">
        <v>12</v>
      </c>
      <c r="N535">
        <v>5</v>
      </c>
      <c r="O535" t="s">
        <v>13</v>
      </c>
      <c r="P535">
        <v>9</v>
      </c>
      <c r="Q535" s="4">
        <v>45924</v>
      </c>
      <c r="R535" s="4"/>
      <c r="S535" t="str">
        <f>TEXT(Table1[[#This Row],[Hiring Date]],"mmmm")</f>
        <v>September</v>
      </c>
      <c r="T535" s="1">
        <f>COUNTIF(S:S,Table1[[#This Row],[Months List]])</f>
        <v>0</v>
      </c>
      <c r="U535" t="str">
        <f>TEXT(Table1[[#This Row],[Hiring Date]],"dddd")</f>
        <v>Wednesday</v>
      </c>
      <c r="V535" s="1" t="str">
        <f>TEXT(Table1[[#This Row],[Hiring Date]],"yyyy")</f>
        <v>2025</v>
      </c>
    </row>
    <row r="536" spans="1:22">
      <c r="A536" t="s">
        <v>160</v>
      </c>
      <c r="B536">
        <v>38</v>
      </c>
      <c r="C536">
        <v>364</v>
      </c>
      <c r="D536" t="s">
        <v>14</v>
      </c>
      <c r="E536" t="s">
        <v>1501</v>
      </c>
      <c r="F536" t="s">
        <v>1499</v>
      </c>
      <c r="G536">
        <v>32</v>
      </c>
      <c r="H536">
        <v>3</v>
      </c>
      <c r="I536">
        <v>2</v>
      </c>
      <c r="J536" t="s">
        <v>1476</v>
      </c>
      <c r="K536" t="s">
        <v>1477</v>
      </c>
      <c r="L536">
        <v>3</v>
      </c>
      <c r="M536" t="s">
        <v>12</v>
      </c>
      <c r="N536">
        <v>3</v>
      </c>
      <c r="O536" t="s">
        <v>10</v>
      </c>
      <c r="P536">
        <v>19</v>
      </c>
      <c r="Q536" s="4">
        <v>45874</v>
      </c>
      <c r="R536" s="4"/>
      <c r="S536" t="str">
        <f>TEXT(Table1[[#This Row],[Hiring Date]],"mmmm")</f>
        <v>August</v>
      </c>
      <c r="T536" s="1">
        <f>COUNTIF(S:S,Table1[[#This Row],[Months List]])</f>
        <v>0</v>
      </c>
      <c r="U536" t="str">
        <f>TEXT(Table1[[#This Row],[Hiring Date]],"dddd")</f>
        <v>Tuesday</v>
      </c>
      <c r="V536" s="1" t="str">
        <f>TEXT(Table1[[#This Row],[Hiring Date]],"yyyy")</f>
        <v>2025</v>
      </c>
    </row>
    <row r="537" spans="1:22">
      <c r="A537" t="s">
        <v>161</v>
      </c>
      <c r="B537">
        <v>30</v>
      </c>
      <c r="C537">
        <v>438</v>
      </c>
      <c r="D537" t="s">
        <v>14</v>
      </c>
      <c r="E537" t="s">
        <v>1497</v>
      </c>
      <c r="F537" t="s">
        <v>1499</v>
      </c>
      <c r="G537">
        <v>75</v>
      </c>
      <c r="H537">
        <v>3</v>
      </c>
      <c r="I537">
        <v>1</v>
      </c>
      <c r="J537" t="s">
        <v>1476</v>
      </c>
      <c r="K537" t="s">
        <v>1477</v>
      </c>
      <c r="L537">
        <v>3</v>
      </c>
      <c r="M537" t="s">
        <v>12</v>
      </c>
      <c r="N537">
        <v>1</v>
      </c>
      <c r="O537" t="s">
        <v>13</v>
      </c>
      <c r="P537">
        <v>5</v>
      </c>
      <c r="Q537" s="4">
        <v>45833</v>
      </c>
      <c r="R537" s="4"/>
      <c r="S537" t="str">
        <f>TEXT(Table1[[#This Row],[Hiring Date]],"mmmm")</f>
        <v>June</v>
      </c>
      <c r="T537" s="1">
        <f>COUNTIF(S:S,Table1[[#This Row],[Months List]])</f>
        <v>0</v>
      </c>
      <c r="U537" t="str">
        <f>TEXT(Table1[[#This Row],[Hiring Date]],"dddd")</f>
        <v>Wednesday</v>
      </c>
      <c r="V537" s="1" t="str">
        <f>TEXT(Table1[[#This Row],[Hiring Date]],"yyyy")</f>
        <v>2025</v>
      </c>
    </row>
    <row r="538" spans="1:22">
      <c r="A538" t="s">
        <v>162</v>
      </c>
      <c r="B538">
        <v>32</v>
      </c>
      <c r="C538">
        <v>689</v>
      </c>
      <c r="D538" t="s">
        <v>11</v>
      </c>
      <c r="E538" t="s">
        <v>1495</v>
      </c>
      <c r="F538" t="s">
        <v>1496</v>
      </c>
      <c r="G538">
        <v>35</v>
      </c>
      <c r="H538">
        <v>1</v>
      </c>
      <c r="I538">
        <v>2</v>
      </c>
      <c r="J538" t="s">
        <v>1474</v>
      </c>
      <c r="K538" t="s">
        <v>1475</v>
      </c>
      <c r="L538">
        <v>4</v>
      </c>
      <c r="M538" t="s">
        <v>16</v>
      </c>
      <c r="N538">
        <v>0</v>
      </c>
      <c r="O538" t="s">
        <v>13</v>
      </c>
      <c r="P538">
        <v>9</v>
      </c>
      <c r="Q538" s="4">
        <v>45693</v>
      </c>
      <c r="R538" s="4"/>
      <c r="S538" t="str">
        <f>TEXT(Table1[[#This Row],[Hiring Date]],"mmmm")</f>
        <v>February</v>
      </c>
      <c r="T538" s="1">
        <f>COUNTIF(S:S,Table1[[#This Row],[Months List]])</f>
        <v>0</v>
      </c>
      <c r="U538" t="str">
        <f>TEXT(Table1[[#This Row],[Hiring Date]],"dddd")</f>
        <v>Wednesday</v>
      </c>
      <c r="V538" s="1" t="str">
        <f>TEXT(Table1[[#This Row],[Hiring Date]],"yyyy")</f>
        <v>2025</v>
      </c>
    </row>
    <row r="539" spans="1:22">
      <c r="A539" t="s">
        <v>163</v>
      </c>
      <c r="B539">
        <v>30</v>
      </c>
      <c r="C539">
        <v>201</v>
      </c>
      <c r="D539" t="s">
        <v>14</v>
      </c>
      <c r="E539" t="s">
        <v>1501</v>
      </c>
      <c r="F539" t="s">
        <v>1499</v>
      </c>
      <c r="G539">
        <v>84</v>
      </c>
      <c r="H539">
        <v>3</v>
      </c>
      <c r="I539">
        <v>1</v>
      </c>
      <c r="J539" t="s">
        <v>1476</v>
      </c>
      <c r="K539" t="s">
        <v>1477</v>
      </c>
      <c r="L539">
        <v>1</v>
      </c>
      <c r="M539" t="s">
        <v>16</v>
      </c>
      <c r="N539">
        <v>5</v>
      </c>
      <c r="O539" t="s">
        <v>13</v>
      </c>
      <c r="P539">
        <v>8</v>
      </c>
      <c r="Q539" s="4">
        <v>45730</v>
      </c>
      <c r="R539" s="4"/>
      <c r="S539" t="str">
        <f>TEXT(Table1[[#This Row],[Hiring Date]],"mmmm")</f>
        <v>March</v>
      </c>
      <c r="T539" s="1">
        <f>COUNTIF(S:S,Table1[[#This Row],[Months List]])</f>
        <v>0</v>
      </c>
      <c r="U539" t="str">
        <f>TEXT(Table1[[#This Row],[Hiring Date]],"dddd")</f>
        <v>Friday</v>
      </c>
      <c r="V539" s="1" t="str">
        <f>TEXT(Table1[[#This Row],[Hiring Date]],"yyyy")</f>
        <v>2025</v>
      </c>
    </row>
    <row r="540" spans="1:22">
      <c r="A540" t="s">
        <v>164</v>
      </c>
      <c r="B540">
        <v>30</v>
      </c>
      <c r="C540">
        <v>1427</v>
      </c>
      <c r="D540" t="s">
        <v>14</v>
      </c>
      <c r="E540" t="s">
        <v>1495</v>
      </c>
      <c r="F540" t="s">
        <v>1496</v>
      </c>
      <c r="G540">
        <v>35</v>
      </c>
      <c r="H540">
        <v>2</v>
      </c>
      <c r="I540">
        <v>1</v>
      </c>
      <c r="J540" t="s">
        <v>1484</v>
      </c>
      <c r="K540" t="s">
        <v>1485</v>
      </c>
      <c r="L540">
        <v>4</v>
      </c>
      <c r="M540" t="s">
        <v>12</v>
      </c>
      <c r="N540">
        <v>0</v>
      </c>
      <c r="O540" t="s">
        <v>13</v>
      </c>
      <c r="P540">
        <v>6</v>
      </c>
      <c r="Q540" s="4">
        <v>45985</v>
      </c>
      <c r="R540" s="4"/>
      <c r="S540" t="str">
        <f>TEXT(Table1[[#This Row],[Hiring Date]],"mmmm")</f>
        <v>November</v>
      </c>
      <c r="T540" s="1">
        <f>COUNTIF(S:S,Table1[[#This Row],[Months List]])</f>
        <v>0</v>
      </c>
      <c r="U540" t="str">
        <f>TEXT(Table1[[#This Row],[Hiring Date]],"dddd")</f>
        <v>Monday</v>
      </c>
      <c r="V540" s="1" t="str">
        <f>TEXT(Table1[[#This Row],[Hiring Date]],"yyyy")</f>
        <v>2025</v>
      </c>
    </row>
    <row r="541" spans="1:22">
      <c r="A541" t="s">
        <v>165</v>
      </c>
      <c r="B541">
        <v>41</v>
      </c>
      <c r="C541">
        <v>857</v>
      </c>
      <c r="D541" t="s">
        <v>14</v>
      </c>
      <c r="E541" t="s">
        <v>1497</v>
      </c>
      <c r="F541" t="s">
        <v>1496</v>
      </c>
      <c r="G541">
        <v>91</v>
      </c>
      <c r="H541">
        <v>2</v>
      </c>
      <c r="I541">
        <v>4</v>
      </c>
      <c r="J541" t="s">
        <v>1482</v>
      </c>
      <c r="K541" t="s">
        <v>1483</v>
      </c>
      <c r="L541">
        <v>1</v>
      </c>
      <c r="M541" t="s">
        <v>16</v>
      </c>
      <c r="N541">
        <v>4</v>
      </c>
      <c r="O541" t="s">
        <v>13</v>
      </c>
      <c r="P541">
        <v>21</v>
      </c>
      <c r="Q541" s="4">
        <v>45977</v>
      </c>
      <c r="R541" s="4"/>
      <c r="S541" t="str">
        <f>TEXT(Table1[[#This Row],[Hiring Date]],"mmmm")</f>
        <v>November</v>
      </c>
      <c r="T541" s="1">
        <f>COUNTIF(S:S,Table1[[#This Row],[Months List]])</f>
        <v>0</v>
      </c>
      <c r="U541" t="str">
        <f>TEXT(Table1[[#This Row],[Hiring Date]],"dddd")</f>
        <v>Sunday</v>
      </c>
      <c r="V541" s="1" t="str">
        <f>TEXT(Table1[[#This Row],[Hiring Date]],"yyyy")</f>
        <v>2025</v>
      </c>
    </row>
    <row r="542" spans="1:22">
      <c r="A542" t="s">
        <v>166</v>
      </c>
      <c r="B542">
        <v>41</v>
      </c>
      <c r="C542">
        <v>933</v>
      </c>
      <c r="D542" t="s">
        <v>14</v>
      </c>
      <c r="E542" t="s">
        <v>1497</v>
      </c>
      <c r="F542" t="s">
        <v>1496</v>
      </c>
      <c r="G542">
        <v>94</v>
      </c>
      <c r="H542">
        <v>3</v>
      </c>
      <c r="I542">
        <v>1</v>
      </c>
      <c r="J542" t="s">
        <v>1484</v>
      </c>
      <c r="K542" t="s">
        <v>1485</v>
      </c>
      <c r="L542">
        <v>1</v>
      </c>
      <c r="M542" t="s">
        <v>15</v>
      </c>
      <c r="N542">
        <v>2</v>
      </c>
      <c r="O542" t="s">
        <v>13</v>
      </c>
      <c r="P542">
        <v>7</v>
      </c>
      <c r="Q542" s="4">
        <v>45643</v>
      </c>
      <c r="R542" s="4"/>
      <c r="S542" t="str">
        <f>TEXT(Table1[[#This Row],[Hiring Date]],"mmmm")</f>
        <v>December</v>
      </c>
      <c r="T542" s="1">
        <f>COUNTIF(S:S,Table1[[#This Row],[Months List]])</f>
        <v>0</v>
      </c>
      <c r="U542" t="str">
        <f>TEXT(Table1[[#This Row],[Hiring Date]],"dddd")</f>
        <v>Tuesday</v>
      </c>
      <c r="V542" s="1" t="str">
        <f>TEXT(Table1[[#This Row],[Hiring Date]],"yyyy")</f>
        <v>2024</v>
      </c>
    </row>
    <row r="543" spans="1:22">
      <c r="A543" t="s">
        <v>23</v>
      </c>
      <c r="B543">
        <v>32</v>
      </c>
      <c r="C543">
        <v>1005</v>
      </c>
      <c r="D543" t="s">
        <v>14</v>
      </c>
      <c r="E543" t="s">
        <v>1497</v>
      </c>
      <c r="F543" t="s">
        <v>1496</v>
      </c>
      <c r="G543">
        <v>79</v>
      </c>
      <c r="H543">
        <v>3</v>
      </c>
      <c r="I543">
        <v>1</v>
      </c>
      <c r="J543" t="s">
        <v>1484</v>
      </c>
      <c r="K543" t="s">
        <v>1485</v>
      </c>
      <c r="L543">
        <v>4</v>
      </c>
      <c r="M543" t="s">
        <v>12</v>
      </c>
      <c r="N543">
        <v>0</v>
      </c>
      <c r="O543" t="s">
        <v>13</v>
      </c>
      <c r="P543">
        <v>8</v>
      </c>
      <c r="Q543" s="4">
        <v>45774</v>
      </c>
      <c r="R543" s="4"/>
      <c r="S543" t="str">
        <f>TEXT(Table1[[#This Row],[Hiring Date]],"mmmm")</f>
        <v>April</v>
      </c>
      <c r="T543" s="1">
        <f>COUNTIF(S:S,Table1[[#This Row],[Months List]])</f>
        <v>0</v>
      </c>
      <c r="U543" t="str">
        <f>TEXT(Table1[[#This Row],[Hiring Date]],"dddd")</f>
        <v>Sunday</v>
      </c>
      <c r="V543" s="1" t="str">
        <f>TEXT(Table1[[#This Row],[Hiring Date]],"yyyy")</f>
        <v>2025</v>
      </c>
    </row>
    <row r="544" spans="1:22">
      <c r="A544" t="s">
        <v>167</v>
      </c>
      <c r="B544">
        <v>19</v>
      </c>
      <c r="C544">
        <v>1181</v>
      </c>
      <c r="D544" t="s">
        <v>14</v>
      </c>
      <c r="E544" t="s">
        <v>1495</v>
      </c>
      <c r="F544" t="s">
        <v>1499</v>
      </c>
      <c r="G544">
        <v>79</v>
      </c>
      <c r="H544">
        <v>3</v>
      </c>
      <c r="I544">
        <v>1</v>
      </c>
      <c r="J544" t="s">
        <v>1484</v>
      </c>
      <c r="K544" t="s">
        <v>1485</v>
      </c>
      <c r="L544">
        <v>2</v>
      </c>
      <c r="M544" t="s">
        <v>12</v>
      </c>
      <c r="N544">
        <v>1</v>
      </c>
      <c r="O544" t="s">
        <v>13</v>
      </c>
      <c r="P544">
        <v>1</v>
      </c>
      <c r="Q544" s="4">
        <v>45837</v>
      </c>
      <c r="R544" s="4"/>
      <c r="S544" t="str">
        <f>TEXT(Table1[[#This Row],[Hiring Date]],"mmmm")</f>
        <v>June</v>
      </c>
      <c r="T544" s="1">
        <f>COUNTIF(S:S,Table1[[#This Row],[Months List]])</f>
        <v>0</v>
      </c>
      <c r="U544" t="str">
        <f>TEXT(Table1[[#This Row],[Hiring Date]],"dddd")</f>
        <v>Sunday</v>
      </c>
      <c r="V544" s="1" t="str">
        <f>TEXT(Table1[[#This Row],[Hiring Date]],"yyyy")</f>
        <v>2025</v>
      </c>
    </row>
    <row r="545" spans="1:22">
      <c r="A545" t="s">
        <v>168</v>
      </c>
      <c r="B545">
        <v>40</v>
      </c>
      <c r="C545">
        <v>1395</v>
      </c>
      <c r="D545" t="s">
        <v>14</v>
      </c>
      <c r="E545" t="s">
        <v>1495</v>
      </c>
      <c r="F545" t="s">
        <v>1499</v>
      </c>
      <c r="G545">
        <v>54</v>
      </c>
      <c r="H545">
        <v>3</v>
      </c>
      <c r="I545">
        <v>2</v>
      </c>
      <c r="J545" t="s">
        <v>1476</v>
      </c>
      <c r="K545" t="s">
        <v>1477</v>
      </c>
      <c r="L545">
        <v>2</v>
      </c>
      <c r="M545" t="s">
        <v>16</v>
      </c>
      <c r="N545">
        <v>1</v>
      </c>
      <c r="O545" t="s">
        <v>13</v>
      </c>
      <c r="P545">
        <v>20</v>
      </c>
      <c r="Q545" s="4">
        <v>45882</v>
      </c>
      <c r="R545" s="4"/>
      <c r="S545" t="str">
        <f>TEXT(Table1[[#This Row],[Hiring Date]],"mmmm")</f>
        <v>August</v>
      </c>
      <c r="T545" s="1">
        <f>COUNTIF(S:S,Table1[[#This Row],[Months List]])</f>
        <v>0</v>
      </c>
      <c r="U545" t="str">
        <f>TEXT(Table1[[#This Row],[Hiring Date]],"dddd")</f>
        <v>Wednesday</v>
      </c>
      <c r="V545" s="1" t="str">
        <f>TEXT(Table1[[#This Row],[Hiring Date]],"yyyy")</f>
        <v>2025</v>
      </c>
    </row>
    <row r="546" spans="1:22">
      <c r="A546" t="s">
        <v>169</v>
      </c>
      <c r="B546">
        <v>35</v>
      </c>
      <c r="C546">
        <v>662</v>
      </c>
      <c r="D546" t="s">
        <v>11</v>
      </c>
      <c r="E546" t="s">
        <v>1498</v>
      </c>
      <c r="F546" t="s">
        <v>1496</v>
      </c>
      <c r="G546">
        <v>94</v>
      </c>
      <c r="H546">
        <v>3</v>
      </c>
      <c r="I546">
        <v>3</v>
      </c>
      <c r="J546" t="s">
        <v>1474</v>
      </c>
      <c r="K546" t="s">
        <v>1475</v>
      </c>
      <c r="L546">
        <v>2</v>
      </c>
      <c r="M546" t="s">
        <v>15</v>
      </c>
      <c r="N546">
        <v>1</v>
      </c>
      <c r="O546" t="s">
        <v>13</v>
      </c>
      <c r="P546">
        <v>10</v>
      </c>
      <c r="Q546" s="4">
        <v>45717</v>
      </c>
      <c r="R546" s="4"/>
      <c r="S546" t="str">
        <f>TEXT(Table1[[#This Row],[Hiring Date]],"mmmm")</f>
        <v>March</v>
      </c>
      <c r="T546" s="1">
        <f>COUNTIF(S:S,Table1[[#This Row],[Months List]])</f>
        <v>0</v>
      </c>
      <c r="U546" t="str">
        <f>TEXT(Table1[[#This Row],[Hiring Date]],"dddd")</f>
        <v>Saturday</v>
      </c>
      <c r="V546" s="1" t="str">
        <f>TEXT(Table1[[#This Row],[Hiring Date]],"yyyy")</f>
        <v>2025</v>
      </c>
    </row>
    <row r="547" spans="1:22">
      <c r="A547" t="s">
        <v>170</v>
      </c>
      <c r="B547">
        <v>53</v>
      </c>
      <c r="C547">
        <v>1436</v>
      </c>
      <c r="D547" t="s">
        <v>11</v>
      </c>
      <c r="E547" t="s">
        <v>1498</v>
      </c>
      <c r="F547" t="s">
        <v>1496</v>
      </c>
      <c r="G547">
        <v>34</v>
      </c>
      <c r="H547">
        <v>3</v>
      </c>
      <c r="I547">
        <v>2</v>
      </c>
      <c r="J547" t="s">
        <v>1489</v>
      </c>
      <c r="K547" t="s">
        <v>1490</v>
      </c>
      <c r="L547">
        <v>3</v>
      </c>
      <c r="M547" t="s">
        <v>15</v>
      </c>
      <c r="N547">
        <v>2</v>
      </c>
      <c r="O547" t="s">
        <v>10</v>
      </c>
      <c r="P547">
        <v>13</v>
      </c>
      <c r="Q547" s="4">
        <v>45968</v>
      </c>
      <c r="R547" s="4"/>
      <c r="S547" t="str">
        <f>TEXT(Table1[[#This Row],[Hiring Date]],"mmmm")</f>
        <v>November</v>
      </c>
      <c r="T547" s="1">
        <f>COUNTIF(S:S,Table1[[#This Row],[Months List]])</f>
        <v>0</v>
      </c>
      <c r="U547" t="str">
        <f>TEXT(Table1[[#This Row],[Hiring Date]],"dddd")</f>
        <v>Friday</v>
      </c>
      <c r="V547" s="1" t="str">
        <f>TEXT(Table1[[#This Row],[Hiring Date]],"yyyy")</f>
        <v>2025</v>
      </c>
    </row>
    <row r="548" spans="1:22">
      <c r="A548" t="s">
        <v>171</v>
      </c>
      <c r="B548">
        <v>45</v>
      </c>
      <c r="C548">
        <v>194</v>
      </c>
      <c r="D548" t="s">
        <v>14</v>
      </c>
      <c r="E548" t="s">
        <v>1497</v>
      </c>
      <c r="F548" t="s">
        <v>1496</v>
      </c>
      <c r="G548">
        <v>60</v>
      </c>
      <c r="H548">
        <v>3</v>
      </c>
      <c r="I548">
        <v>2</v>
      </c>
      <c r="J548" t="s">
        <v>1484</v>
      </c>
      <c r="K548" t="s">
        <v>1485</v>
      </c>
      <c r="L548">
        <v>2</v>
      </c>
      <c r="M548" t="s">
        <v>16</v>
      </c>
      <c r="N548">
        <v>8</v>
      </c>
      <c r="O548" t="s">
        <v>13</v>
      </c>
      <c r="P548">
        <v>20</v>
      </c>
      <c r="Q548" s="4">
        <v>45762</v>
      </c>
      <c r="R548" s="4"/>
      <c r="S548" t="str">
        <f>TEXT(Table1[[#This Row],[Hiring Date]],"mmmm")</f>
        <v>April</v>
      </c>
      <c r="T548" s="1">
        <f>COUNTIF(S:S,Table1[[#This Row],[Months List]])</f>
        <v>0</v>
      </c>
      <c r="U548" t="str">
        <f>TEXT(Table1[[#This Row],[Hiring Date]],"dddd")</f>
        <v>Tuesday</v>
      </c>
      <c r="V548" s="1" t="str">
        <f>TEXT(Table1[[#This Row],[Hiring Date]],"yyyy")</f>
        <v>2025</v>
      </c>
    </row>
    <row r="549" spans="1:22">
      <c r="A549" t="s">
        <v>172</v>
      </c>
      <c r="B549">
        <v>32</v>
      </c>
      <c r="C549">
        <v>967</v>
      </c>
      <c r="D549" t="s">
        <v>11</v>
      </c>
      <c r="E549" t="s">
        <v>1498</v>
      </c>
      <c r="F549" t="s">
        <v>1499</v>
      </c>
      <c r="G549">
        <v>43</v>
      </c>
      <c r="H549">
        <v>3</v>
      </c>
      <c r="I549">
        <v>3</v>
      </c>
      <c r="J549" t="s">
        <v>1474</v>
      </c>
      <c r="K549" t="s">
        <v>1475</v>
      </c>
      <c r="L549">
        <v>4</v>
      </c>
      <c r="M549" t="s">
        <v>12</v>
      </c>
      <c r="N549">
        <v>1</v>
      </c>
      <c r="O549" t="s">
        <v>13</v>
      </c>
      <c r="P549">
        <v>9</v>
      </c>
      <c r="Q549" s="4">
        <v>45852</v>
      </c>
      <c r="R549" s="4"/>
      <c r="S549" t="str">
        <f>TEXT(Table1[[#This Row],[Hiring Date]],"mmmm")</f>
        <v>July</v>
      </c>
      <c r="T549" s="1">
        <f>COUNTIF(S:S,Table1[[#This Row],[Months List]])</f>
        <v>0</v>
      </c>
      <c r="U549" t="str">
        <f>TEXT(Table1[[#This Row],[Hiring Date]],"dddd")</f>
        <v>Monday</v>
      </c>
      <c r="V549" s="1" t="str">
        <f>TEXT(Table1[[#This Row],[Hiring Date]],"yyyy")</f>
        <v>2025</v>
      </c>
    </row>
    <row r="550" spans="1:22">
      <c r="A550" t="s">
        <v>173</v>
      </c>
      <c r="B550">
        <v>29</v>
      </c>
      <c r="C550">
        <v>1496</v>
      </c>
      <c r="D550" t="s">
        <v>14</v>
      </c>
      <c r="E550" t="s">
        <v>1501</v>
      </c>
      <c r="F550" t="s">
        <v>1496</v>
      </c>
      <c r="G550">
        <v>41</v>
      </c>
      <c r="H550">
        <v>3</v>
      </c>
      <c r="I550">
        <v>2</v>
      </c>
      <c r="J550" t="s">
        <v>1480</v>
      </c>
      <c r="K550" t="s">
        <v>1481</v>
      </c>
      <c r="L550">
        <v>3</v>
      </c>
      <c r="M550" t="s">
        <v>15</v>
      </c>
      <c r="N550">
        <v>1</v>
      </c>
      <c r="O550" t="s">
        <v>13</v>
      </c>
      <c r="P550">
        <v>10</v>
      </c>
      <c r="Q550" s="4">
        <v>45706</v>
      </c>
      <c r="R550" s="4"/>
      <c r="S550" t="str">
        <f>TEXT(Table1[[#This Row],[Hiring Date]],"mmmm")</f>
        <v>February</v>
      </c>
      <c r="T550" s="1">
        <f>COUNTIF(S:S,Table1[[#This Row],[Months List]])</f>
        <v>0</v>
      </c>
      <c r="U550" t="str">
        <f>TEXT(Table1[[#This Row],[Hiring Date]],"dddd")</f>
        <v>Tuesday</v>
      </c>
      <c r="V550" s="1" t="str">
        <f>TEXT(Table1[[#This Row],[Hiring Date]],"yyyy")</f>
        <v>2025</v>
      </c>
    </row>
    <row r="551" spans="1:22">
      <c r="A551" t="s">
        <v>174</v>
      </c>
      <c r="B551">
        <v>51</v>
      </c>
      <c r="C551">
        <v>1169</v>
      </c>
      <c r="D551" t="s">
        <v>14</v>
      </c>
      <c r="E551" t="s">
        <v>1495</v>
      </c>
      <c r="F551" t="s">
        <v>1496</v>
      </c>
      <c r="G551">
        <v>34</v>
      </c>
      <c r="H551">
        <v>2</v>
      </c>
      <c r="I551">
        <v>2</v>
      </c>
      <c r="J551" t="s">
        <v>1480</v>
      </c>
      <c r="K551" t="s">
        <v>1481</v>
      </c>
      <c r="L551">
        <v>3</v>
      </c>
      <c r="M551" t="s">
        <v>15</v>
      </c>
      <c r="N551">
        <v>2</v>
      </c>
      <c r="O551" t="s">
        <v>13</v>
      </c>
      <c r="P551">
        <v>10</v>
      </c>
      <c r="Q551" s="4">
        <v>45885</v>
      </c>
      <c r="R551" s="4"/>
      <c r="S551" t="str">
        <f>TEXT(Table1[[#This Row],[Hiring Date]],"mmmm")</f>
        <v>August</v>
      </c>
      <c r="T551" s="1">
        <f>COUNTIF(S:S,Table1[[#This Row],[Months List]])</f>
        <v>0</v>
      </c>
      <c r="U551" t="str">
        <f>TEXT(Table1[[#This Row],[Hiring Date]],"dddd")</f>
        <v>Saturday</v>
      </c>
      <c r="V551" s="1" t="str">
        <f>TEXT(Table1[[#This Row],[Hiring Date]],"yyyy")</f>
        <v>2025</v>
      </c>
    </row>
    <row r="552" spans="1:22">
      <c r="A552" t="s">
        <v>175</v>
      </c>
      <c r="B552">
        <v>58</v>
      </c>
      <c r="C552">
        <v>1145</v>
      </c>
      <c r="D552" t="s">
        <v>14</v>
      </c>
      <c r="E552" t="s">
        <v>1495</v>
      </c>
      <c r="F552" t="s">
        <v>1499</v>
      </c>
      <c r="G552">
        <v>75</v>
      </c>
      <c r="H552">
        <v>2</v>
      </c>
      <c r="I552">
        <v>1</v>
      </c>
      <c r="J552" t="s">
        <v>1476</v>
      </c>
      <c r="K552" t="s">
        <v>1477</v>
      </c>
      <c r="L552">
        <v>2</v>
      </c>
      <c r="M552" t="s">
        <v>15</v>
      </c>
      <c r="N552">
        <v>4</v>
      </c>
      <c r="O552" t="s">
        <v>10</v>
      </c>
      <c r="P552">
        <v>9</v>
      </c>
      <c r="Q552" s="4">
        <v>45833</v>
      </c>
      <c r="R552" s="4"/>
      <c r="S552" t="str">
        <f>TEXT(Table1[[#This Row],[Hiring Date]],"mmmm")</f>
        <v>June</v>
      </c>
      <c r="T552" s="1">
        <f>COUNTIF(S:S,Table1[[#This Row],[Months List]])</f>
        <v>0</v>
      </c>
      <c r="U552" t="str">
        <f>TEXT(Table1[[#This Row],[Hiring Date]],"dddd")</f>
        <v>Wednesday</v>
      </c>
      <c r="V552" s="1" t="str">
        <f>TEXT(Table1[[#This Row],[Hiring Date]],"yyyy")</f>
        <v>2025</v>
      </c>
    </row>
    <row r="553" spans="1:22">
      <c r="A553" t="s">
        <v>176</v>
      </c>
      <c r="B553">
        <v>40</v>
      </c>
      <c r="C553">
        <v>630</v>
      </c>
      <c r="D553" t="s">
        <v>11</v>
      </c>
      <c r="E553" t="s">
        <v>1498</v>
      </c>
      <c r="F553" t="s">
        <v>1496</v>
      </c>
      <c r="G553">
        <v>67</v>
      </c>
      <c r="H553">
        <v>2</v>
      </c>
      <c r="I553">
        <v>3</v>
      </c>
      <c r="J553" t="s">
        <v>1474</v>
      </c>
      <c r="K553" t="s">
        <v>1475</v>
      </c>
      <c r="L553">
        <v>4</v>
      </c>
      <c r="M553" t="s">
        <v>15</v>
      </c>
      <c r="N553">
        <v>7</v>
      </c>
      <c r="O553" t="s">
        <v>13</v>
      </c>
      <c r="P553">
        <v>15</v>
      </c>
      <c r="Q553" s="4">
        <v>45936</v>
      </c>
      <c r="R553" s="4"/>
      <c r="S553" t="str">
        <f>TEXT(Table1[[#This Row],[Hiring Date]],"mmmm")</f>
        <v>October</v>
      </c>
      <c r="T553" s="1">
        <f>COUNTIF(S:S,Table1[[#This Row],[Months List]])</f>
        <v>0</v>
      </c>
      <c r="U553" t="str">
        <f>TEXT(Table1[[#This Row],[Hiring Date]],"dddd")</f>
        <v>Monday</v>
      </c>
      <c r="V553" s="1" t="str">
        <f>TEXT(Table1[[#This Row],[Hiring Date]],"yyyy")</f>
        <v>2025</v>
      </c>
    </row>
    <row r="554" spans="1:22">
      <c r="A554" t="s">
        <v>24</v>
      </c>
      <c r="B554">
        <v>59</v>
      </c>
      <c r="C554">
        <v>1324</v>
      </c>
      <c r="D554" t="s">
        <v>14</v>
      </c>
      <c r="E554" t="s">
        <v>1495</v>
      </c>
      <c r="F554" t="s">
        <v>1499</v>
      </c>
      <c r="G554">
        <v>81</v>
      </c>
      <c r="H554">
        <v>4</v>
      </c>
      <c r="I554">
        <v>1</v>
      </c>
      <c r="J554" t="s">
        <v>1484</v>
      </c>
      <c r="K554" t="s">
        <v>1485</v>
      </c>
      <c r="L554">
        <v>1</v>
      </c>
      <c r="M554" t="s">
        <v>15</v>
      </c>
      <c r="N554">
        <v>4</v>
      </c>
      <c r="O554" t="s">
        <v>10</v>
      </c>
      <c r="P554">
        <v>12</v>
      </c>
      <c r="Q554" s="4">
        <v>45890</v>
      </c>
      <c r="R554" s="4"/>
      <c r="S554" t="str">
        <f>TEXT(Table1[[#This Row],[Hiring Date]],"mmmm")</f>
        <v>August</v>
      </c>
      <c r="T554" s="1">
        <f>COUNTIF(S:S,Table1[[#This Row],[Months List]])</f>
        <v>0</v>
      </c>
      <c r="U554" t="str">
        <f>TEXT(Table1[[#This Row],[Hiring Date]],"dddd")</f>
        <v>Thursday</v>
      </c>
      <c r="V554" s="1" t="str">
        <f>TEXT(Table1[[#This Row],[Hiring Date]],"yyyy")</f>
        <v>2025</v>
      </c>
    </row>
    <row r="555" spans="1:22">
      <c r="A555" t="s">
        <v>177</v>
      </c>
      <c r="B555">
        <v>34</v>
      </c>
      <c r="C555">
        <v>303</v>
      </c>
      <c r="D555" t="s">
        <v>11</v>
      </c>
      <c r="E555" t="s">
        <v>1498</v>
      </c>
      <c r="F555" t="s">
        <v>1499</v>
      </c>
      <c r="G555">
        <v>75</v>
      </c>
      <c r="H555">
        <v>3</v>
      </c>
      <c r="I555">
        <v>1</v>
      </c>
      <c r="J555" t="s">
        <v>1489</v>
      </c>
      <c r="K555" t="s">
        <v>1490</v>
      </c>
      <c r="L555">
        <v>3</v>
      </c>
      <c r="M555" t="s">
        <v>15</v>
      </c>
      <c r="N555">
        <v>6</v>
      </c>
      <c r="O555" t="s">
        <v>13</v>
      </c>
      <c r="P555">
        <v>6</v>
      </c>
      <c r="Q555" s="4">
        <v>45705</v>
      </c>
      <c r="R555" s="4"/>
      <c r="S555" t="str">
        <f>TEXT(Table1[[#This Row],[Hiring Date]],"mmmm")</f>
        <v>February</v>
      </c>
      <c r="T555" s="1">
        <f>COUNTIF(S:S,Table1[[#This Row],[Months List]])</f>
        <v>0</v>
      </c>
      <c r="U555" t="str">
        <f>TEXT(Table1[[#This Row],[Hiring Date]],"dddd")</f>
        <v>Monday</v>
      </c>
      <c r="V555" s="1" t="str">
        <f>TEXT(Table1[[#This Row],[Hiring Date]],"yyyy")</f>
        <v>2025</v>
      </c>
    </row>
    <row r="556" spans="1:22">
      <c r="A556" t="s">
        <v>178</v>
      </c>
      <c r="B556">
        <v>22</v>
      </c>
      <c r="C556">
        <v>1256</v>
      </c>
      <c r="D556" t="s">
        <v>14</v>
      </c>
      <c r="E556" t="s">
        <v>1495</v>
      </c>
      <c r="F556" t="s">
        <v>1496</v>
      </c>
      <c r="G556">
        <v>80</v>
      </c>
      <c r="H556">
        <v>3</v>
      </c>
      <c r="I556">
        <v>1</v>
      </c>
      <c r="J556" t="s">
        <v>1476</v>
      </c>
      <c r="K556" t="s">
        <v>1477</v>
      </c>
      <c r="L556">
        <v>4</v>
      </c>
      <c r="M556" t="s">
        <v>15</v>
      </c>
      <c r="N556">
        <v>1</v>
      </c>
      <c r="O556" t="s">
        <v>13</v>
      </c>
      <c r="P556">
        <v>2</v>
      </c>
      <c r="Q556" s="4">
        <v>45751</v>
      </c>
      <c r="R556" s="4"/>
      <c r="S556" t="str">
        <f>TEXT(Table1[[#This Row],[Hiring Date]],"mmmm")</f>
        <v>April</v>
      </c>
      <c r="T556" s="1">
        <f>COUNTIF(S:S,Table1[[#This Row],[Months List]])</f>
        <v>0</v>
      </c>
      <c r="U556" t="str">
        <f>TEXT(Table1[[#This Row],[Hiring Date]],"dddd")</f>
        <v>Friday</v>
      </c>
      <c r="V556" s="1" t="str">
        <f>TEXT(Table1[[#This Row],[Hiring Date]],"yyyy")</f>
        <v>2025</v>
      </c>
    </row>
    <row r="557" spans="1:22">
      <c r="A557" t="s">
        <v>179</v>
      </c>
      <c r="B557">
        <v>27</v>
      </c>
      <c r="C557">
        <v>691</v>
      </c>
      <c r="D557" t="s">
        <v>14</v>
      </c>
      <c r="E557" t="s">
        <v>1495</v>
      </c>
      <c r="F557" t="s">
        <v>1496</v>
      </c>
      <c r="G557">
        <v>57</v>
      </c>
      <c r="H557">
        <v>3</v>
      </c>
      <c r="I557">
        <v>1</v>
      </c>
      <c r="J557" t="s">
        <v>1476</v>
      </c>
      <c r="K557" t="s">
        <v>1477</v>
      </c>
      <c r="L557">
        <v>2</v>
      </c>
      <c r="M557" t="s">
        <v>16</v>
      </c>
      <c r="N557">
        <v>6</v>
      </c>
      <c r="O557" t="s">
        <v>13</v>
      </c>
      <c r="P557">
        <v>6</v>
      </c>
      <c r="Q557" s="4">
        <v>45842</v>
      </c>
      <c r="R557" s="4"/>
      <c r="S557" t="str">
        <f>TEXT(Table1[[#This Row],[Hiring Date]],"mmmm")</f>
        <v>July</v>
      </c>
      <c r="T557" s="1">
        <f>COUNTIF(S:S,Table1[[#This Row],[Months List]])</f>
        <v>0</v>
      </c>
      <c r="U557" t="str">
        <f>TEXT(Table1[[#This Row],[Hiring Date]],"dddd")</f>
        <v>Friday</v>
      </c>
      <c r="V557" s="1" t="str">
        <f>TEXT(Table1[[#This Row],[Hiring Date]],"yyyy")</f>
        <v>2025</v>
      </c>
    </row>
    <row r="558" spans="1:22">
      <c r="A558" t="s">
        <v>180</v>
      </c>
      <c r="B558">
        <v>28</v>
      </c>
      <c r="C558">
        <v>440</v>
      </c>
      <c r="D558" t="s">
        <v>14</v>
      </c>
      <c r="E558" t="s">
        <v>1495</v>
      </c>
      <c r="F558" t="s">
        <v>1496</v>
      </c>
      <c r="G558">
        <v>42</v>
      </c>
      <c r="H558">
        <v>3</v>
      </c>
      <c r="I558">
        <v>1</v>
      </c>
      <c r="J558" t="s">
        <v>1476</v>
      </c>
      <c r="K558" t="s">
        <v>1477</v>
      </c>
      <c r="L558">
        <v>4</v>
      </c>
      <c r="M558" t="s">
        <v>15</v>
      </c>
      <c r="N558">
        <v>1</v>
      </c>
      <c r="O558" t="s">
        <v>13</v>
      </c>
      <c r="P558">
        <v>5</v>
      </c>
      <c r="Q558" s="4">
        <v>45954</v>
      </c>
      <c r="R558" s="4"/>
      <c r="S558" t="str">
        <f>TEXT(Table1[[#This Row],[Hiring Date]],"mmmm")</f>
        <v>October</v>
      </c>
      <c r="T558" s="1">
        <f>COUNTIF(S:S,Table1[[#This Row],[Months List]])</f>
        <v>0</v>
      </c>
      <c r="U558" t="str">
        <f>TEXT(Table1[[#This Row],[Hiring Date]],"dddd")</f>
        <v>Friday</v>
      </c>
      <c r="V558" s="1" t="str">
        <f>TEXT(Table1[[#This Row],[Hiring Date]],"yyyy")</f>
        <v>2025</v>
      </c>
    </row>
    <row r="559" spans="1:22">
      <c r="A559" t="s">
        <v>181</v>
      </c>
      <c r="B559">
        <v>57</v>
      </c>
      <c r="C559">
        <v>334</v>
      </c>
      <c r="D559" t="s">
        <v>14</v>
      </c>
      <c r="E559" t="s">
        <v>1497</v>
      </c>
      <c r="F559" t="s">
        <v>1496</v>
      </c>
      <c r="G559">
        <v>83</v>
      </c>
      <c r="H559">
        <v>4</v>
      </c>
      <c r="I559">
        <v>3</v>
      </c>
      <c r="J559" t="s">
        <v>1478</v>
      </c>
      <c r="K559" t="s">
        <v>1479</v>
      </c>
      <c r="L559">
        <v>4</v>
      </c>
      <c r="M559" t="s">
        <v>16</v>
      </c>
      <c r="N559">
        <v>3</v>
      </c>
      <c r="O559" t="s">
        <v>10</v>
      </c>
      <c r="P559">
        <v>12</v>
      </c>
      <c r="Q559" s="4">
        <v>45683</v>
      </c>
      <c r="R559" s="4"/>
      <c r="S559" t="str">
        <f>TEXT(Table1[[#This Row],[Hiring Date]],"mmmm")</f>
        <v>January</v>
      </c>
      <c r="T559" s="1">
        <f>COUNTIF(S:S,Table1[[#This Row],[Months List]])</f>
        <v>0</v>
      </c>
      <c r="U559" t="str">
        <f>TEXT(Table1[[#This Row],[Hiring Date]],"dddd")</f>
        <v>Sunday</v>
      </c>
      <c r="V559" s="1" t="str">
        <f>TEXT(Table1[[#This Row],[Hiring Date]],"yyyy")</f>
        <v>2025</v>
      </c>
    </row>
    <row r="560" spans="1:22">
      <c r="A560" t="s">
        <v>182</v>
      </c>
      <c r="B560">
        <v>27</v>
      </c>
      <c r="C560">
        <v>1450</v>
      </c>
      <c r="D560" t="s">
        <v>14</v>
      </c>
      <c r="E560" t="s">
        <v>1495</v>
      </c>
      <c r="F560" t="s">
        <v>1496</v>
      </c>
      <c r="G560">
        <v>79</v>
      </c>
      <c r="H560">
        <v>2</v>
      </c>
      <c r="I560">
        <v>1</v>
      </c>
      <c r="J560" t="s">
        <v>1476</v>
      </c>
      <c r="K560" t="s">
        <v>1477</v>
      </c>
      <c r="L560">
        <v>3</v>
      </c>
      <c r="M560" t="s">
        <v>16</v>
      </c>
      <c r="N560">
        <v>1</v>
      </c>
      <c r="O560" t="s">
        <v>10</v>
      </c>
      <c r="P560">
        <v>1</v>
      </c>
      <c r="Q560" s="4">
        <v>45727</v>
      </c>
      <c r="R560" s="4"/>
      <c r="S560" t="str">
        <f>TEXT(Table1[[#This Row],[Hiring Date]],"mmmm")</f>
        <v>March</v>
      </c>
      <c r="T560" s="1">
        <f>COUNTIF(S:S,Table1[[#This Row],[Months List]])</f>
        <v>0</v>
      </c>
      <c r="U560" t="str">
        <f>TEXT(Table1[[#This Row],[Hiring Date]],"dddd")</f>
        <v>Tuesday</v>
      </c>
      <c r="V560" s="1" t="str">
        <f>TEXT(Table1[[#This Row],[Hiring Date]],"yyyy")</f>
        <v>2025</v>
      </c>
    </row>
    <row r="561" spans="1:22">
      <c r="A561" t="s">
        <v>183</v>
      </c>
      <c r="B561">
        <v>50</v>
      </c>
      <c r="C561">
        <v>1452</v>
      </c>
      <c r="D561" t="s">
        <v>14</v>
      </c>
      <c r="E561" t="s">
        <v>1497</v>
      </c>
      <c r="F561" t="s">
        <v>1499</v>
      </c>
      <c r="G561">
        <v>53</v>
      </c>
      <c r="H561">
        <v>3</v>
      </c>
      <c r="I561">
        <v>5</v>
      </c>
      <c r="J561" t="s">
        <v>1482</v>
      </c>
      <c r="K561" t="s">
        <v>1483</v>
      </c>
      <c r="L561">
        <v>2</v>
      </c>
      <c r="M561" t="s">
        <v>12</v>
      </c>
      <c r="N561">
        <v>3</v>
      </c>
      <c r="O561" t="s">
        <v>13</v>
      </c>
      <c r="P561">
        <v>21</v>
      </c>
      <c r="Q561" s="4">
        <v>45823</v>
      </c>
      <c r="R561" s="4"/>
      <c r="S561" t="str">
        <f>TEXT(Table1[[#This Row],[Hiring Date]],"mmmm")</f>
        <v>June</v>
      </c>
      <c r="T561" s="1">
        <f>COUNTIF(S:S,Table1[[#This Row],[Months List]])</f>
        <v>0</v>
      </c>
      <c r="U561" t="str">
        <f>TEXT(Table1[[#This Row],[Hiring Date]],"dddd")</f>
        <v>Sunday</v>
      </c>
      <c r="V561" s="1" t="str">
        <f>TEXT(Table1[[#This Row],[Hiring Date]],"yyyy")</f>
        <v>2025</v>
      </c>
    </row>
    <row r="562" spans="1:22">
      <c r="A562" t="s">
        <v>184</v>
      </c>
      <c r="B562">
        <v>41</v>
      </c>
      <c r="C562">
        <v>465</v>
      </c>
      <c r="D562" t="s">
        <v>14</v>
      </c>
      <c r="E562" t="s">
        <v>1497</v>
      </c>
      <c r="F562" t="s">
        <v>1496</v>
      </c>
      <c r="G562">
        <v>56</v>
      </c>
      <c r="H562">
        <v>3</v>
      </c>
      <c r="I562">
        <v>1</v>
      </c>
      <c r="J562" t="s">
        <v>1476</v>
      </c>
      <c r="K562" t="s">
        <v>1477</v>
      </c>
      <c r="L562">
        <v>3</v>
      </c>
      <c r="M562" t="s">
        <v>16</v>
      </c>
      <c r="N562">
        <v>4</v>
      </c>
      <c r="O562" t="s">
        <v>13</v>
      </c>
      <c r="P562">
        <v>13</v>
      </c>
      <c r="Q562" s="4">
        <v>45910</v>
      </c>
      <c r="R562" s="4"/>
      <c r="S562" t="str">
        <f>TEXT(Table1[[#This Row],[Hiring Date]],"mmmm")</f>
        <v>September</v>
      </c>
      <c r="T562" s="1">
        <f>COUNTIF(S:S,Table1[[#This Row],[Months List]])</f>
        <v>0</v>
      </c>
      <c r="U562" t="str">
        <f>TEXT(Table1[[#This Row],[Hiring Date]],"dddd")</f>
        <v>Wednesday</v>
      </c>
      <c r="V562" s="1" t="str">
        <f>TEXT(Table1[[#This Row],[Hiring Date]],"yyyy")</f>
        <v>2025</v>
      </c>
    </row>
    <row r="563" spans="1:22">
      <c r="A563" t="s">
        <v>185</v>
      </c>
      <c r="B563">
        <v>30</v>
      </c>
      <c r="C563">
        <v>1339</v>
      </c>
      <c r="D563" t="s">
        <v>11</v>
      </c>
      <c r="E563" t="s">
        <v>1497</v>
      </c>
      <c r="F563" t="s">
        <v>1499</v>
      </c>
      <c r="G563">
        <v>41</v>
      </c>
      <c r="H563">
        <v>3</v>
      </c>
      <c r="I563">
        <v>3</v>
      </c>
      <c r="J563" t="s">
        <v>1474</v>
      </c>
      <c r="K563" t="s">
        <v>1475</v>
      </c>
      <c r="L563">
        <v>4</v>
      </c>
      <c r="M563" t="s">
        <v>15</v>
      </c>
      <c r="N563">
        <v>2</v>
      </c>
      <c r="O563" t="s">
        <v>13</v>
      </c>
      <c r="P563">
        <v>12</v>
      </c>
      <c r="Q563" s="4">
        <v>45697</v>
      </c>
      <c r="R563" s="4"/>
      <c r="S563" t="str">
        <f>TEXT(Table1[[#This Row],[Hiring Date]],"mmmm")</f>
        <v>February</v>
      </c>
      <c r="T563" s="1">
        <f>COUNTIF(S:S,Table1[[#This Row],[Months List]])</f>
        <v>0</v>
      </c>
      <c r="U563" t="str">
        <f>TEXT(Table1[[#This Row],[Hiring Date]],"dddd")</f>
        <v>Sunday</v>
      </c>
      <c r="V563" s="1" t="str">
        <f>TEXT(Table1[[#This Row],[Hiring Date]],"yyyy")</f>
        <v>2025</v>
      </c>
    </row>
    <row r="564" spans="1:22">
      <c r="A564" t="s">
        <v>186</v>
      </c>
      <c r="B564">
        <v>38</v>
      </c>
      <c r="C564">
        <v>702</v>
      </c>
      <c r="D564" t="s">
        <v>11</v>
      </c>
      <c r="E564" t="s">
        <v>1497</v>
      </c>
      <c r="F564" t="s">
        <v>1499</v>
      </c>
      <c r="G564">
        <v>59</v>
      </c>
      <c r="H564">
        <v>2</v>
      </c>
      <c r="I564">
        <v>2</v>
      </c>
      <c r="J564" t="s">
        <v>1474</v>
      </c>
      <c r="K564" t="s">
        <v>1475</v>
      </c>
      <c r="L564">
        <v>4</v>
      </c>
      <c r="M564" t="s">
        <v>12</v>
      </c>
      <c r="N564">
        <v>4</v>
      </c>
      <c r="O564" t="s">
        <v>13</v>
      </c>
      <c r="P564">
        <v>12</v>
      </c>
      <c r="Q564" s="4">
        <v>45818</v>
      </c>
      <c r="R564" s="4"/>
      <c r="S564" t="str">
        <f>TEXT(Table1[[#This Row],[Hiring Date]],"mmmm")</f>
        <v>June</v>
      </c>
      <c r="T564" s="1">
        <f>COUNTIF(S:S,Table1[[#This Row],[Months List]])</f>
        <v>0</v>
      </c>
      <c r="U564" t="str">
        <f>TEXT(Table1[[#This Row],[Hiring Date]],"dddd")</f>
        <v>Tuesday</v>
      </c>
      <c r="V564" s="1" t="str">
        <f>TEXT(Table1[[#This Row],[Hiring Date]],"yyyy")</f>
        <v>2025</v>
      </c>
    </row>
    <row r="565" spans="1:22">
      <c r="A565" t="s">
        <v>25</v>
      </c>
      <c r="B565">
        <v>30</v>
      </c>
      <c r="C565">
        <v>1358</v>
      </c>
      <c r="D565" t="s">
        <v>14</v>
      </c>
      <c r="E565" t="s">
        <v>1497</v>
      </c>
      <c r="F565" t="s">
        <v>1496</v>
      </c>
      <c r="G565">
        <v>67</v>
      </c>
      <c r="H565">
        <v>3</v>
      </c>
      <c r="I565">
        <v>1</v>
      </c>
      <c r="J565" t="s">
        <v>1484</v>
      </c>
      <c r="K565" t="s">
        <v>1485</v>
      </c>
      <c r="L565">
        <v>3</v>
      </c>
      <c r="M565" t="s">
        <v>16</v>
      </c>
      <c r="N565">
        <v>1</v>
      </c>
      <c r="O565" t="s">
        <v>13</v>
      </c>
      <c r="P565">
        <v>1</v>
      </c>
      <c r="Q565" s="4">
        <v>45780</v>
      </c>
      <c r="R565" s="4"/>
      <c r="S565" t="str">
        <f>TEXT(Table1[[#This Row],[Hiring Date]],"mmmm")</f>
        <v>May</v>
      </c>
      <c r="T565" s="1">
        <f>COUNTIF(S:S,Table1[[#This Row],[Months List]])</f>
        <v>0</v>
      </c>
      <c r="U565" t="str">
        <f>TEXT(Table1[[#This Row],[Hiring Date]],"dddd")</f>
        <v>Saturday</v>
      </c>
      <c r="V565" s="1" t="str">
        <f>TEXT(Table1[[#This Row],[Hiring Date]],"yyyy")</f>
        <v>2025</v>
      </c>
    </row>
    <row r="566" spans="1:22">
      <c r="A566" t="s">
        <v>187</v>
      </c>
      <c r="B566">
        <v>32</v>
      </c>
      <c r="C566">
        <v>120</v>
      </c>
      <c r="D566" t="s">
        <v>14</v>
      </c>
      <c r="E566" t="s">
        <v>1497</v>
      </c>
      <c r="F566" t="s">
        <v>1496</v>
      </c>
      <c r="G566">
        <v>43</v>
      </c>
      <c r="H566">
        <v>3</v>
      </c>
      <c r="I566">
        <v>1</v>
      </c>
      <c r="J566" t="s">
        <v>1476</v>
      </c>
      <c r="K566" t="s">
        <v>1477</v>
      </c>
      <c r="L566">
        <v>3</v>
      </c>
      <c r="M566" t="s">
        <v>12</v>
      </c>
      <c r="N566">
        <v>3</v>
      </c>
      <c r="O566" t="s">
        <v>13</v>
      </c>
      <c r="P566">
        <v>8</v>
      </c>
      <c r="Q566" s="4">
        <v>45689</v>
      </c>
      <c r="R566" s="4"/>
      <c r="S566" t="str">
        <f>TEXT(Table1[[#This Row],[Hiring Date]],"mmmm")</f>
        <v>February</v>
      </c>
      <c r="T566" s="1">
        <f>COUNTIF(S:S,Table1[[#This Row],[Months List]])</f>
        <v>0</v>
      </c>
      <c r="U566" t="str">
        <f>TEXT(Table1[[#This Row],[Hiring Date]],"dddd")</f>
        <v>Saturday</v>
      </c>
      <c r="V566" s="1" t="str">
        <f>TEXT(Table1[[#This Row],[Hiring Date]],"yyyy")</f>
        <v>2025</v>
      </c>
    </row>
    <row r="567" spans="1:22">
      <c r="A567" t="s">
        <v>188</v>
      </c>
      <c r="B567">
        <v>27</v>
      </c>
      <c r="C567">
        <v>1157</v>
      </c>
      <c r="D567" t="s">
        <v>14</v>
      </c>
      <c r="E567" t="s">
        <v>1501</v>
      </c>
      <c r="F567" t="s">
        <v>1496</v>
      </c>
      <c r="G567">
        <v>51</v>
      </c>
      <c r="H567">
        <v>3</v>
      </c>
      <c r="I567">
        <v>1</v>
      </c>
      <c r="J567" t="s">
        <v>1476</v>
      </c>
      <c r="K567" t="s">
        <v>1477</v>
      </c>
      <c r="L567">
        <v>2</v>
      </c>
      <c r="M567" t="s">
        <v>15</v>
      </c>
      <c r="N567">
        <v>0</v>
      </c>
      <c r="O567" t="s">
        <v>10</v>
      </c>
      <c r="P567">
        <v>6</v>
      </c>
      <c r="Q567" s="4">
        <v>45671</v>
      </c>
      <c r="R567" s="4"/>
      <c r="S567" t="str">
        <f>TEXT(Table1[[#This Row],[Hiring Date]],"mmmm")</f>
        <v>January</v>
      </c>
      <c r="T567" s="1">
        <f>COUNTIF(S:S,Table1[[#This Row],[Months List]])</f>
        <v>0</v>
      </c>
      <c r="U567" t="str">
        <f>TEXT(Table1[[#This Row],[Hiring Date]],"dddd")</f>
        <v>Tuesday</v>
      </c>
      <c r="V567" s="1" t="str">
        <f>TEXT(Table1[[#This Row],[Hiring Date]],"yyyy")</f>
        <v>2025</v>
      </c>
    </row>
    <row r="568" spans="1:22">
      <c r="A568" t="s">
        <v>189</v>
      </c>
      <c r="B568">
        <v>19</v>
      </c>
      <c r="C568">
        <v>602</v>
      </c>
      <c r="D568" t="s">
        <v>11</v>
      </c>
      <c r="E568" t="s">
        <v>1501</v>
      </c>
      <c r="F568" t="s">
        <v>1499</v>
      </c>
      <c r="G568">
        <v>100</v>
      </c>
      <c r="H568">
        <v>1</v>
      </c>
      <c r="I568">
        <v>1</v>
      </c>
      <c r="J568" t="s">
        <v>1489</v>
      </c>
      <c r="K568" t="s">
        <v>1490</v>
      </c>
      <c r="L568">
        <v>1</v>
      </c>
      <c r="M568" t="s">
        <v>12</v>
      </c>
      <c r="N568">
        <v>0</v>
      </c>
      <c r="O568" t="s">
        <v>13</v>
      </c>
      <c r="P568">
        <v>1</v>
      </c>
      <c r="Q568" s="4">
        <v>45691</v>
      </c>
      <c r="R568" s="4"/>
      <c r="S568" t="str">
        <f>TEXT(Table1[[#This Row],[Hiring Date]],"mmmm")</f>
        <v>February</v>
      </c>
      <c r="T568" s="1">
        <f>COUNTIF(S:S,Table1[[#This Row],[Months List]])</f>
        <v>0</v>
      </c>
      <c r="U568" t="str">
        <f>TEXT(Table1[[#This Row],[Hiring Date]],"dddd")</f>
        <v>Monday</v>
      </c>
      <c r="V568" s="1" t="str">
        <f>TEXT(Table1[[#This Row],[Hiring Date]],"yyyy")</f>
        <v>2025</v>
      </c>
    </row>
    <row r="569" spans="1:22">
      <c r="A569" t="s">
        <v>190</v>
      </c>
      <c r="B569">
        <v>36</v>
      </c>
      <c r="C569">
        <v>1480</v>
      </c>
      <c r="D569" t="s">
        <v>14</v>
      </c>
      <c r="E569" t="s">
        <v>1495</v>
      </c>
      <c r="F569" t="s">
        <v>1496</v>
      </c>
      <c r="G569">
        <v>30</v>
      </c>
      <c r="H569">
        <v>3</v>
      </c>
      <c r="I569">
        <v>1</v>
      </c>
      <c r="J569" t="s">
        <v>1484</v>
      </c>
      <c r="K569" t="s">
        <v>1485</v>
      </c>
      <c r="L569">
        <v>2</v>
      </c>
      <c r="M569" t="s">
        <v>12</v>
      </c>
      <c r="N569">
        <v>4</v>
      </c>
      <c r="O569" t="s">
        <v>13</v>
      </c>
      <c r="P569">
        <v>13</v>
      </c>
      <c r="Q569" s="4">
        <v>45848</v>
      </c>
      <c r="R569" s="4"/>
      <c r="S569" t="str">
        <f>TEXT(Table1[[#This Row],[Hiring Date]],"mmmm")</f>
        <v>July</v>
      </c>
      <c r="T569" s="1">
        <f>COUNTIF(S:S,Table1[[#This Row],[Months List]])</f>
        <v>0</v>
      </c>
      <c r="U569" t="str">
        <f>TEXT(Table1[[#This Row],[Hiring Date]],"dddd")</f>
        <v>Thursday</v>
      </c>
      <c r="V569" s="1" t="str">
        <f>TEXT(Table1[[#This Row],[Hiring Date]],"yyyy")</f>
        <v>2025</v>
      </c>
    </row>
    <row r="570" spans="1:22">
      <c r="A570" t="s">
        <v>191</v>
      </c>
      <c r="B570">
        <v>30</v>
      </c>
      <c r="C570">
        <v>111</v>
      </c>
      <c r="D570" t="s">
        <v>14</v>
      </c>
      <c r="E570" t="s">
        <v>1495</v>
      </c>
      <c r="F570" t="s">
        <v>1496</v>
      </c>
      <c r="G570">
        <v>66</v>
      </c>
      <c r="H570">
        <v>3</v>
      </c>
      <c r="I570">
        <v>2</v>
      </c>
      <c r="J570" t="s">
        <v>1484</v>
      </c>
      <c r="K570" t="s">
        <v>1485</v>
      </c>
      <c r="L570">
        <v>1</v>
      </c>
      <c r="M570" t="s">
        <v>16</v>
      </c>
      <c r="N570">
        <v>1</v>
      </c>
      <c r="O570" t="s">
        <v>13</v>
      </c>
      <c r="P570">
        <v>12</v>
      </c>
      <c r="Q570" s="4">
        <v>45820</v>
      </c>
      <c r="R570" s="4"/>
      <c r="S570" t="str">
        <f>TEXT(Table1[[#This Row],[Hiring Date]],"mmmm")</f>
        <v>June</v>
      </c>
      <c r="T570" s="1">
        <f>COUNTIF(S:S,Table1[[#This Row],[Months List]])</f>
        <v>0</v>
      </c>
      <c r="U570" t="str">
        <f>TEXT(Table1[[#This Row],[Hiring Date]],"dddd")</f>
        <v>Thursday</v>
      </c>
      <c r="V570" s="1" t="str">
        <f>TEXT(Table1[[#This Row],[Hiring Date]],"yyyy")</f>
        <v>2025</v>
      </c>
    </row>
    <row r="571" spans="1:22">
      <c r="A571" t="s">
        <v>192</v>
      </c>
      <c r="B571">
        <v>45</v>
      </c>
      <c r="C571">
        <v>1268</v>
      </c>
      <c r="D571" t="s">
        <v>11</v>
      </c>
      <c r="E571" t="s">
        <v>1497</v>
      </c>
      <c r="F571" t="s">
        <v>1499</v>
      </c>
      <c r="G571">
        <v>30</v>
      </c>
      <c r="H571">
        <v>3</v>
      </c>
      <c r="I571">
        <v>2</v>
      </c>
      <c r="J571" t="s">
        <v>1474</v>
      </c>
      <c r="K571" t="s">
        <v>1475</v>
      </c>
      <c r="L571">
        <v>1</v>
      </c>
      <c r="M571" t="s">
        <v>16</v>
      </c>
      <c r="N571">
        <v>4</v>
      </c>
      <c r="O571" t="s">
        <v>10</v>
      </c>
      <c r="P571">
        <v>9</v>
      </c>
      <c r="Q571" s="4">
        <v>45677</v>
      </c>
      <c r="R571" s="4"/>
      <c r="S571" t="str">
        <f>TEXT(Table1[[#This Row],[Hiring Date]],"mmmm")</f>
        <v>January</v>
      </c>
      <c r="T571" s="1">
        <f>COUNTIF(S:S,Table1[[#This Row],[Months List]])</f>
        <v>0</v>
      </c>
      <c r="U571" t="str">
        <f>TEXT(Table1[[#This Row],[Hiring Date]],"dddd")</f>
        <v>Monday</v>
      </c>
      <c r="V571" s="1" t="str">
        <f>TEXT(Table1[[#This Row],[Hiring Date]],"yyyy")</f>
        <v>2025</v>
      </c>
    </row>
    <row r="572" spans="1:22">
      <c r="A572" t="s">
        <v>193</v>
      </c>
      <c r="B572">
        <v>56</v>
      </c>
      <c r="C572">
        <v>713</v>
      </c>
      <c r="D572" t="s">
        <v>14</v>
      </c>
      <c r="E572" t="s">
        <v>1497</v>
      </c>
      <c r="F572" t="s">
        <v>1499</v>
      </c>
      <c r="G572">
        <v>67</v>
      </c>
      <c r="H572">
        <v>3</v>
      </c>
      <c r="I572">
        <v>1</v>
      </c>
      <c r="J572" t="s">
        <v>1476</v>
      </c>
      <c r="K572" t="s">
        <v>1477</v>
      </c>
      <c r="L572">
        <v>1</v>
      </c>
      <c r="M572" t="s">
        <v>16</v>
      </c>
      <c r="N572">
        <v>4</v>
      </c>
      <c r="O572" t="s">
        <v>10</v>
      </c>
      <c r="P572">
        <v>19</v>
      </c>
      <c r="Q572" s="4">
        <v>45844</v>
      </c>
      <c r="R572" s="4"/>
      <c r="S572" t="str">
        <f>TEXT(Table1[[#This Row],[Hiring Date]],"mmmm")</f>
        <v>July</v>
      </c>
      <c r="T572" s="1">
        <f>COUNTIF(S:S,Table1[[#This Row],[Months List]])</f>
        <v>0</v>
      </c>
      <c r="U572" t="str">
        <f>TEXT(Table1[[#This Row],[Hiring Date]],"dddd")</f>
        <v>Sunday</v>
      </c>
      <c r="V572" s="1" t="str">
        <f>TEXT(Table1[[#This Row],[Hiring Date]],"yyyy")</f>
        <v>2025</v>
      </c>
    </row>
    <row r="573" spans="1:22">
      <c r="A573" t="s">
        <v>194</v>
      </c>
      <c r="B573">
        <v>33</v>
      </c>
      <c r="C573">
        <v>134</v>
      </c>
      <c r="D573" t="s">
        <v>14</v>
      </c>
      <c r="E573" t="s">
        <v>1497</v>
      </c>
      <c r="F573" t="s">
        <v>1496</v>
      </c>
      <c r="G573">
        <v>90</v>
      </c>
      <c r="H573">
        <v>3</v>
      </c>
      <c r="I573">
        <v>1</v>
      </c>
      <c r="J573" t="s">
        <v>1476</v>
      </c>
      <c r="K573" t="s">
        <v>1477</v>
      </c>
      <c r="L573">
        <v>4</v>
      </c>
      <c r="M573" t="s">
        <v>12</v>
      </c>
      <c r="N573">
        <v>0</v>
      </c>
      <c r="O573" t="s">
        <v>13</v>
      </c>
      <c r="P573">
        <v>4</v>
      </c>
      <c r="Q573" s="4">
        <v>45672</v>
      </c>
      <c r="R573" s="4"/>
      <c r="S573" t="str">
        <f>TEXT(Table1[[#This Row],[Hiring Date]],"mmmm")</f>
        <v>January</v>
      </c>
      <c r="T573" s="1">
        <f>COUNTIF(S:S,Table1[[#This Row],[Months List]])</f>
        <v>0</v>
      </c>
      <c r="U573" t="str">
        <f>TEXT(Table1[[#This Row],[Hiring Date]],"dddd")</f>
        <v>Wednesday</v>
      </c>
      <c r="V573" s="1" t="str">
        <f>TEXT(Table1[[#This Row],[Hiring Date]],"yyyy")</f>
        <v>2025</v>
      </c>
    </row>
    <row r="574" spans="1:22">
      <c r="A574" t="s">
        <v>195</v>
      </c>
      <c r="B574">
        <v>19</v>
      </c>
      <c r="C574">
        <v>303</v>
      </c>
      <c r="D574" t="s">
        <v>14</v>
      </c>
      <c r="E574" t="s">
        <v>1497</v>
      </c>
      <c r="F574" t="s">
        <v>1496</v>
      </c>
      <c r="G574">
        <v>47</v>
      </c>
      <c r="H574">
        <v>2</v>
      </c>
      <c r="I574">
        <v>1</v>
      </c>
      <c r="J574" t="s">
        <v>1484</v>
      </c>
      <c r="K574" t="s">
        <v>1485</v>
      </c>
      <c r="L574">
        <v>4</v>
      </c>
      <c r="M574" t="s">
        <v>12</v>
      </c>
      <c r="N574">
        <v>1</v>
      </c>
      <c r="O574" t="s">
        <v>13</v>
      </c>
      <c r="P574">
        <v>1</v>
      </c>
      <c r="Q574" s="4">
        <v>45721</v>
      </c>
      <c r="R574" s="4"/>
      <c r="S574" t="str">
        <f>TEXT(Table1[[#This Row],[Hiring Date]],"mmmm")</f>
        <v>March</v>
      </c>
      <c r="T574" s="1">
        <f>COUNTIF(S:S,Table1[[#This Row],[Months List]])</f>
        <v>0</v>
      </c>
      <c r="U574" t="str">
        <f>TEXT(Table1[[#This Row],[Hiring Date]],"dddd")</f>
        <v>Wednesday</v>
      </c>
      <c r="V574" s="1" t="str">
        <f>TEXT(Table1[[#This Row],[Hiring Date]],"yyyy")</f>
        <v>2025</v>
      </c>
    </row>
    <row r="575" spans="1:22">
      <c r="A575" t="s">
        <v>196</v>
      </c>
      <c r="B575">
        <v>46</v>
      </c>
      <c r="C575">
        <v>526</v>
      </c>
      <c r="D575" t="s">
        <v>11</v>
      </c>
      <c r="E575" t="s">
        <v>1498</v>
      </c>
      <c r="F575" t="s">
        <v>1499</v>
      </c>
      <c r="G575">
        <v>92</v>
      </c>
      <c r="H575">
        <v>3</v>
      </c>
      <c r="I575">
        <v>3</v>
      </c>
      <c r="J575" t="s">
        <v>1474</v>
      </c>
      <c r="K575" t="s">
        <v>1475</v>
      </c>
      <c r="L575">
        <v>1</v>
      </c>
      <c r="M575" t="s">
        <v>16</v>
      </c>
      <c r="N575">
        <v>1</v>
      </c>
      <c r="O575" t="s">
        <v>13</v>
      </c>
      <c r="P575">
        <v>24</v>
      </c>
      <c r="Q575" s="4">
        <v>45693</v>
      </c>
      <c r="R575" s="4"/>
      <c r="S575" t="str">
        <f>TEXT(Table1[[#This Row],[Hiring Date]],"mmmm")</f>
        <v>February</v>
      </c>
      <c r="T575" s="1">
        <f>COUNTIF(S:S,Table1[[#This Row],[Months List]])</f>
        <v>0</v>
      </c>
      <c r="U575" t="str">
        <f>TEXT(Table1[[#This Row],[Hiring Date]],"dddd")</f>
        <v>Wednesday</v>
      </c>
      <c r="V575" s="1" t="str">
        <f>TEXT(Table1[[#This Row],[Hiring Date]],"yyyy")</f>
        <v>2025</v>
      </c>
    </row>
    <row r="576" spans="1:22">
      <c r="A576" t="s">
        <v>26</v>
      </c>
      <c r="B576">
        <v>38</v>
      </c>
      <c r="C576">
        <v>216</v>
      </c>
      <c r="D576" t="s">
        <v>14</v>
      </c>
      <c r="E576" t="s">
        <v>1497</v>
      </c>
      <c r="F576" t="s">
        <v>1496</v>
      </c>
      <c r="G576">
        <v>44</v>
      </c>
      <c r="H576">
        <v>2</v>
      </c>
      <c r="I576">
        <v>3</v>
      </c>
      <c r="J576" t="s">
        <v>1480</v>
      </c>
      <c r="K576" t="s">
        <v>1481</v>
      </c>
      <c r="L576">
        <v>3</v>
      </c>
      <c r="M576" t="s">
        <v>12</v>
      </c>
      <c r="N576">
        <v>0</v>
      </c>
      <c r="O576" t="s">
        <v>13</v>
      </c>
      <c r="P576">
        <v>10</v>
      </c>
      <c r="Q576" s="4">
        <v>45720</v>
      </c>
      <c r="R576" s="4"/>
      <c r="S576" t="str">
        <f>TEXT(Table1[[#This Row],[Hiring Date]],"mmmm")</f>
        <v>March</v>
      </c>
      <c r="T576" s="1">
        <f>COUNTIF(S:S,Table1[[#This Row],[Months List]])</f>
        <v>0</v>
      </c>
      <c r="U576" t="str">
        <f>TEXT(Table1[[#This Row],[Hiring Date]],"dddd")</f>
        <v>Tuesday</v>
      </c>
      <c r="V576" s="1" t="str">
        <f>TEXT(Table1[[#This Row],[Hiring Date]],"yyyy")</f>
        <v>2025</v>
      </c>
    </row>
    <row r="577" spans="1:22">
      <c r="A577" t="s">
        <v>197</v>
      </c>
      <c r="B577">
        <v>38</v>
      </c>
      <c r="C577">
        <v>1380</v>
      </c>
      <c r="D577" t="s">
        <v>14</v>
      </c>
      <c r="E577" t="s">
        <v>1497</v>
      </c>
      <c r="F577" t="s">
        <v>1499</v>
      </c>
      <c r="G577">
        <v>75</v>
      </c>
      <c r="H577">
        <v>3</v>
      </c>
      <c r="I577">
        <v>1</v>
      </c>
      <c r="J577" t="s">
        <v>1484</v>
      </c>
      <c r="K577" t="s">
        <v>1485</v>
      </c>
      <c r="L577">
        <v>4</v>
      </c>
      <c r="M577" t="s">
        <v>12</v>
      </c>
      <c r="N577">
        <v>1</v>
      </c>
      <c r="O577" t="s">
        <v>13</v>
      </c>
      <c r="P577">
        <v>2</v>
      </c>
      <c r="Q577" s="4">
        <v>45750</v>
      </c>
      <c r="R577" s="4"/>
      <c r="S577" t="str">
        <f>TEXT(Table1[[#This Row],[Hiring Date]],"mmmm")</f>
        <v>April</v>
      </c>
      <c r="T577" s="1">
        <f>COUNTIF(S:S,Table1[[#This Row],[Months List]])</f>
        <v>0</v>
      </c>
      <c r="U577" t="str">
        <f>TEXT(Table1[[#This Row],[Hiring Date]],"dddd")</f>
        <v>Thursday</v>
      </c>
      <c r="V577" s="1" t="str">
        <f>TEXT(Table1[[#This Row],[Hiring Date]],"yyyy")</f>
        <v>2025</v>
      </c>
    </row>
    <row r="578" spans="1:22">
      <c r="A578" t="s">
        <v>198</v>
      </c>
      <c r="B578">
        <v>31</v>
      </c>
      <c r="C578">
        <v>140</v>
      </c>
      <c r="D578" t="s">
        <v>14</v>
      </c>
      <c r="E578" t="s">
        <v>1495</v>
      </c>
      <c r="F578" t="s">
        <v>1499</v>
      </c>
      <c r="G578">
        <v>95</v>
      </c>
      <c r="H578">
        <v>3</v>
      </c>
      <c r="I578">
        <v>1</v>
      </c>
      <c r="J578" t="s">
        <v>1476</v>
      </c>
      <c r="K578" t="s">
        <v>1477</v>
      </c>
      <c r="L578">
        <v>4</v>
      </c>
      <c r="M578" t="s">
        <v>15</v>
      </c>
      <c r="N578">
        <v>8</v>
      </c>
      <c r="O578" t="s">
        <v>10</v>
      </c>
      <c r="P578">
        <v>7</v>
      </c>
      <c r="Q578" s="4">
        <v>45918</v>
      </c>
      <c r="R578" s="4"/>
      <c r="S578" t="str">
        <f>TEXT(Table1[[#This Row],[Hiring Date]],"mmmm")</f>
        <v>September</v>
      </c>
      <c r="T578" s="1">
        <f>COUNTIF(S:S,Table1[[#This Row],[Months List]])</f>
        <v>0</v>
      </c>
      <c r="U578" t="str">
        <f>TEXT(Table1[[#This Row],[Hiring Date]],"dddd")</f>
        <v>Thursday</v>
      </c>
      <c r="V578" s="1" t="str">
        <f>TEXT(Table1[[#This Row],[Hiring Date]],"yyyy")</f>
        <v>2025</v>
      </c>
    </row>
    <row r="579" spans="1:22">
      <c r="A579" t="s">
        <v>199</v>
      </c>
      <c r="B579">
        <v>34</v>
      </c>
      <c r="C579">
        <v>629</v>
      </c>
      <c r="D579" t="s">
        <v>14</v>
      </c>
      <c r="E579" t="s">
        <v>1495</v>
      </c>
      <c r="F579" t="s">
        <v>1499</v>
      </c>
      <c r="G579">
        <v>95</v>
      </c>
      <c r="H579">
        <v>3</v>
      </c>
      <c r="I579">
        <v>1</v>
      </c>
      <c r="J579" t="s">
        <v>1476</v>
      </c>
      <c r="K579" t="s">
        <v>1477</v>
      </c>
      <c r="L579">
        <v>2</v>
      </c>
      <c r="M579" t="s">
        <v>12</v>
      </c>
      <c r="N579">
        <v>2</v>
      </c>
      <c r="O579" t="s">
        <v>13</v>
      </c>
      <c r="P579">
        <v>9</v>
      </c>
      <c r="Q579" s="4">
        <v>45923</v>
      </c>
      <c r="R579" s="4"/>
      <c r="S579" t="str">
        <f>TEXT(Table1[[#This Row],[Hiring Date]],"mmmm")</f>
        <v>September</v>
      </c>
      <c r="T579" s="1">
        <f>COUNTIF(S:S,Table1[[#This Row],[Months List]])</f>
        <v>0</v>
      </c>
      <c r="U579" t="str">
        <f>TEXT(Table1[[#This Row],[Hiring Date]],"dddd")</f>
        <v>Tuesday</v>
      </c>
      <c r="V579" s="1" t="str">
        <f>TEXT(Table1[[#This Row],[Hiring Date]],"yyyy")</f>
        <v>2025</v>
      </c>
    </row>
    <row r="580" spans="1:22">
      <c r="A580" t="s">
        <v>200</v>
      </c>
      <c r="B580">
        <v>41</v>
      </c>
      <c r="C580">
        <v>1356</v>
      </c>
      <c r="D580" t="s">
        <v>11</v>
      </c>
      <c r="E580" t="s">
        <v>1498</v>
      </c>
      <c r="F580" t="s">
        <v>1499</v>
      </c>
      <c r="G580">
        <v>70</v>
      </c>
      <c r="H580">
        <v>3</v>
      </c>
      <c r="I580">
        <v>1</v>
      </c>
      <c r="J580" t="s">
        <v>1489</v>
      </c>
      <c r="K580" t="s">
        <v>1490</v>
      </c>
      <c r="L580">
        <v>2</v>
      </c>
      <c r="M580" t="s">
        <v>12</v>
      </c>
      <c r="N580">
        <v>1</v>
      </c>
      <c r="O580" t="s">
        <v>10</v>
      </c>
      <c r="P580">
        <v>4</v>
      </c>
      <c r="Q580" s="4">
        <v>45902</v>
      </c>
      <c r="R580" s="4"/>
      <c r="S580" t="str">
        <f>TEXT(Table1[[#This Row],[Hiring Date]],"mmmm")</f>
        <v>September</v>
      </c>
      <c r="T580" s="1">
        <f>COUNTIF(S:S,Table1[[#This Row],[Months List]])</f>
        <v>0</v>
      </c>
      <c r="U580" t="str">
        <f>TEXT(Table1[[#This Row],[Hiring Date]],"dddd")</f>
        <v>Tuesday</v>
      </c>
      <c r="V580" s="1" t="str">
        <f>TEXT(Table1[[#This Row],[Hiring Date]],"yyyy")</f>
        <v>2025</v>
      </c>
    </row>
    <row r="581" spans="1:22">
      <c r="A581" t="s">
        <v>201</v>
      </c>
      <c r="B581">
        <v>50</v>
      </c>
      <c r="C581">
        <v>328</v>
      </c>
      <c r="D581" t="s">
        <v>14</v>
      </c>
      <c r="E581" t="s">
        <v>1495</v>
      </c>
      <c r="F581" t="s">
        <v>1496</v>
      </c>
      <c r="G581">
        <v>86</v>
      </c>
      <c r="H581">
        <v>2</v>
      </c>
      <c r="I581">
        <v>1</v>
      </c>
      <c r="J581" t="s">
        <v>1484</v>
      </c>
      <c r="K581" t="s">
        <v>1485</v>
      </c>
      <c r="L581">
        <v>3</v>
      </c>
      <c r="M581" t="s">
        <v>15</v>
      </c>
      <c r="N581">
        <v>2</v>
      </c>
      <c r="O581" t="s">
        <v>13</v>
      </c>
      <c r="P581">
        <v>5</v>
      </c>
      <c r="Q581" s="4">
        <v>45956</v>
      </c>
      <c r="R581" s="4"/>
      <c r="S581" t="str">
        <f>TEXT(Table1[[#This Row],[Hiring Date]],"mmmm")</f>
        <v>October</v>
      </c>
      <c r="T581" s="1">
        <f>COUNTIF(S:S,Table1[[#This Row],[Months List]])</f>
        <v>0</v>
      </c>
      <c r="U581" t="str">
        <f>TEXT(Table1[[#This Row],[Hiring Date]],"dddd")</f>
        <v>Sunday</v>
      </c>
      <c r="V581" s="1" t="str">
        <f>TEXT(Table1[[#This Row],[Hiring Date]],"yyyy")</f>
        <v>2025</v>
      </c>
    </row>
    <row r="582" spans="1:22">
      <c r="A582" t="s">
        <v>202</v>
      </c>
      <c r="B582">
        <v>53</v>
      </c>
      <c r="C582">
        <v>1084</v>
      </c>
      <c r="D582" t="s">
        <v>14</v>
      </c>
      <c r="E582" t="s">
        <v>1495</v>
      </c>
      <c r="F582" t="s">
        <v>1499</v>
      </c>
      <c r="G582">
        <v>57</v>
      </c>
      <c r="H582">
        <v>4</v>
      </c>
      <c r="I582">
        <v>2</v>
      </c>
      <c r="J582" t="s">
        <v>1480</v>
      </c>
      <c r="K582" t="s">
        <v>1481</v>
      </c>
      <c r="L582">
        <v>1</v>
      </c>
      <c r="M582" t="s">
        <v>16</v>
      </c>
      <c r="N582">
        <v>1</v>
      </c>
      <c r="O582" t="s">
        <v>13</v>
      </c>
      <c r="P582">
        <v>5</v>
      </c>
      <c r="Q582" s="4">
        <v>45935</v>
      </c>
      <c r="R582" s="4"/>
      <c r="S582" t="str">
        <f>TEXT(Table1[[#This Row],[Hiring Date]],"mmmm")</f>
        <v>October</v>
      </c>
      <c r="T582" s="1">
        <f>COUNTIF(S:S,Table1[[#This Row],[Months List]])</f>
        <v>0</v>
      </c>
      <c r="U582" t="str">
        <f>TEXT(Table1[[#This Row],[Hiring Date]],"dddd")</f>
        <v>Sunday</v>
      </c>
      <c r="V582" s="1" t="str">
        <f>TEXT(Table1[[#This Row],[Hiring Date]],"yyyy")</f>
        <v>2025</v>
      </c>
    </row>
    <row r="583" spans="1:22">
      <c r="A583" t="s">
        <v>203</v>
      </c>
      <c r="B583">
        <v>33</v>
      </c>
      <c r="C583">
        <v>931</v>
      </c>
      <c r="D583" t="s">
        <v>14</v>
      </c>
      <c r="E583" t="s">
        <v>1495</v>
      </c>
      <c r="F583" t="s">
        <v>1499</v>
      </c>
      <c r="G583">
        <v>72</v>
      </c>
      <c r="H583">
        <v>3</v>
      </c>
      <c r="I583">
        <v>1</v>
      </c>
      <c r="J583" t="s">
        <v>1476</v>
      </c>
      <c r="K583" t="s">
        <v>1477</v>
      </c>
      <c r="L583">
        <v>2</v>
      </c>
      <c r="M583" t="s">
        <v>15</v>
      </c>
      <c r="N583">
        <v>1</v>
      </c>
      <c r="O583" t="s">
        <v>13</v>
      </c>
      <c r="P583">
        <v>8</v>
      </c>
      <c r="Q583" s="4">
        <v>45899</v>
      </c>
      <c r="R583" s="4"/>
      <c r="S583" t="str">
        <f>TEXT(Table1[[#This Row],[Hiring Date]],"mmmm")</f>
        <v>August</v>
      </c>
      <c r="T583" s="1">
        <f>COUNTIF(S:S,Table1[[#This Row],[Months List]])</f>
        <v>0</v>
      </c>
      <c r="U583" t="str">
        <f>TEXT(Table1[[#This Row],[Hiring Date]],"dddd")</f>
        <v>Saturday</v>
      </c>
      <c r="V583" s="1" t="str">
        <f>TEXT(Table1[[#This Row],[Hiring Date]],"yyyy")</f>
        <v>2025</v>
      </c>
    </row>
    <row r="584" spans="1:22">
      <c r="A584" t="s">
        <v>204</v>
      </c>
      <c r="B584">
        <v>40</v>
      </c>
      <c r="C584">
        <v>989</v>
      </c>
      <c r="D584" t="s">
        <v>14</v>
      </c>
      <c r="E584" t="s">
        <v>1495</v>
      </c>
      <c r="F584" t="s">
        <v>1499</v>
      </c>
      <c r="G584">
        <v>46</v>
      </c>
      <c r="H584">
        <v>3</v>
      </c>
      <c r="I584">
        <v>5</v>
      </c>
      <c r="J584" t="s">
        <v>1482</v>
      </c>
      <c r="K584" t="s">
        <v>1483</v>
      </c>
      <c r="L584">
        <v>3</v>
      </c>
      <c r="M584" t="s">
        <v>15</v>
      </c>
      <c r="N584">
        <v>1</v>
      </c>
      <c r="O584" t="s">
        <v>13</v>
      </c>
      <c r="P584">
        <v>21</v>
      </c>
      <c r="Q584" s="4">
        <v>45908</v>
      </c>
      <c r="R584" s="4"/>
      <c r="S584" t="str">
        <f>TEXT(Table1[[#This Row],[Hiring Date]],"mmmm")</f>
        <v>September</v>
      </c>
      <c r="T584" s="1">
        <f>COUNTIF(S:S,Table1[[#This Row],[Months List]])</f>
        <v>0</v>
      </c>
      <c r="U584" t="str">
        <f>TEXT(Table1[[#This Row],[Hiring Date]],"dddd")</f>
        <v>Monday</v>
      </c>
      <c r="V584" s="1" t="str">
        <f>TEXT(Table1[[#This Row],[Hiring Date]],"yyyy")</f>
        <v>2025</v>
      </c>
    </row>
    <row r="585" spans="1:22">
      <c r="A585" t="s">
        <v>205</v>
      </c>
      <c r="B585">
        <v>55</v>
      </c>
      <c r="C585">
        <v>692</v>
      </c>
      <c r="D585" t="s">
        <v>14</v>
      </c>
      <c r="E585" t="s">
        <v>1495</v>
      </c>
      <c r="F585" t="s">
        <v>1496</v>
      </c>
      <c r="G585">
        <v>61</v>
      </c>
      <c r="H585">
        <v>4</v>
      </c>
      <c r="I585">
        <v>5</v>
      </c>
      <c r="J585" t="s">
        <v>1487</v>
      </c>
      <c r="K585" t="s">
        <v>1488</v>
      </c>
      <c r="L585">
        <v>2</v>
      </c>
      <c r="M585" t="s">
        <v>12</v>
      </c>
      <c r="N585">
        <v>8</v>
      </c>
      <c r="O585" t="s">
        <v>13</v>
      </c>
      <c r="P585">
        <v>36</v>
      </c>
      <c r="Q585" s="4">
        <v>45916</v>
      </c>
      <c r="R585" s="4"/>
      <c r="S585" t="str">
        <f>TEXT(Table1[[#This Row],[Hiring Date]],"mmmm")</f>
        <v>September</v>
      </c>
      <c r="T585" s="1">
        <f>COUNTIF(S:S,Table1[[#This Row],[Months List]])</f>
        <v>0</v>
      </c>
      <c r="U585" t="str">
        <f>TEXT(Table1[[#This Row],[Hiring Date]],"dddd")</f>
        <v>Tuesday</v>
      </c>
      <c r="V585" s="1" t="str">
        <f>TEXT(Table1[[#This Row],[Hiring Date]],"yyyy")</f>
        <v>2025</v>
      </c>
    </row>
    <row r="586" spans="1:22">
      <c r="A586" t="s">
        <v>206</v>
      </c>
      <c r="B586">
        <v>34</v>
      </c>
      <c r="C586">
        <v>1069</v>
      </c>
      <c r="D586" t="s">
        <v>14</v>
      </c>
      <c r="E586" t="s">
        <v>1497</v>
      </c>
      <c r="F586" t="s">
        <v>1496</v>
      </c>
      <c r="G586">
        <v>45</v>
      </c>
      <c r="H586">
        <v>2</v>
      </c>
      <c r="I586">
        <v>2</v>
      </c>
      <c r="J586" t="s">
        <v>1480</v>
      </c>
      <c r="K586" t="s">
        <v>1481</v>
      </c>
      <c r="L586">
        <v>3</v>
      </c>
      <c r="M586" t="s">
        <v>15</v>
      </c>
      <c r="N586">
        <v>1</v>
      </c>
      <c r="O586" t="s">
        <v>13</v>
      </c>
      <c r="P586">
        <v>10</v>
      </c>
      <c r="Q586" s="4">
        <v>45744</v>
      </c>
      <c r="R586" s="4"/>
      <c r="S586" t="str">
        <f>TEXT(Table1[[#This Row],[Hiring Date]],"mmmm")</f>
        <v>March</v>
      </c>
      <c r="T586" s="1">
        <f>COUNTIF(S:S,Table1[[#This Row],[Months List]])</f>
        <v>0</v>
      </c>
      <c r="U586" t="str">
        <f>TEXT(Table1[[#This Row],[Hiring Date]],"dddd")</f>
        <v>Friday</v>
      </c>
      <c r="V586" s="1" t="str">
        <f>TEXT(Table1[[#This Row],[Hiring Date]],"yyyy")</f>
        <v>2025</v>
      </c>
    </row>
    <row r="587" spans="1:22">
      <c r="A587" t="s">
        <v>27</v>
      </c>
      <c r="B587">
        <v>36</v>
      </c>
      <c r="C587">
        <v>1299</v>
      </c>
      <c r="D587" t="s">
        <v>14</v>
      </c>
      <c r="E587" t="s">
        <v>1495</v>
      </c>
      <c r="F587" t="s">
        <v>1496</v>
      </c>
      <c r="G587">
        <v>94</v>
      </c>
      <c r="H587">
        <v>3</v>
      </c>
      <c r="I587">
        <v>2</v>
      </c>
      <c r="J587" t="s">
        <v>1478</v>
      </c>
      <c r="K587" t="s">
        <v>1479</v>
      </c>
      <c r="L587">
        <v>3</v>
      </c>
      <c r="M587" t="s">
        <v>15</v>
      </c>
      <c r="N587">
        <v>6</v>
      </c>
      <c r="O587" t="s">
        <v>13</v>
      </c>
      <c r="P587">
        <v>17</v>
      </c>
      <c r="Q587" s="4">
        <v>45745</v>
      </c>
      <c r="R587" s="4"/>
      <c r="S587" t="str">
        <f>TEXT(Table1[[#This Row],[Hiring Date]],"mmmm")</f>
        <v>March</v>
      </c>
      <c r="T587" s="1">
        <f>COUNTIF(S:S,Table1[[#This Row],[Months List]])</f>
        <v>0</v>
      </c>
      <c r="U587" t="str">
        <f>TEXT(Table1[[#This Row],[Hiring Date]],"dddd")</f>
        <v>Saturday</v>
      </c>
      <c r="V587" s="1" t="str">
        <f>TEXT(Table1[[#This Row],[Hiring Date]],"yyyy")</f>
        <v>2025</v>
      </c>
    </row>
    <row r="588" spans="1:22">
      <c r="A588" t="s">
        <v>207</v>
      </c>
      <c r="B588">
        <v>51</v>
      </c>
      <c r="C588">
        <v>313</v>
      </c>
      <c r="D588" t="s">
        <v>14</v>
      </c>
      <c r="E588" t="s">
        <v>1495</v>
      </c>
      <c r="F588" t="s">
        <v>1499</v>
      </c>
      <c r="G588">
        <v>98</v>
      </c>
      <c r="H588">
        <v>3</v>
      </c>
      <c r="I588">
        <v>4</v>
      </c>
      <c r="J588" t="s">
        <v>1478</v>
      </c>
      <c r="K588" t="s">
        <v>1479</v>
      </c>
      <c r="L588">
        <v>2</v>
      </c>
      <c r="M588" t="s">
        <v>12</v>
      </c>
      <c r="N588">
        <v>3</v>
      </c>
      <c r="O588" t="s">
        <v>13</v>
      </c>
      <c r="P588">
        <v>21</v>
      </c>
      <c r="Q588" s="4">
        <v>45707</v>
      </c>
      <c r="R588" s="4"/>
      <c r="S588" t="str">
        <f>TEXT(Table1[[#This Row],[Hiring Date]],"mmmm")</f>
        <v>February</v>
      </c>
      <c r="T588" s="1">
        <f>COUNTIF(S:S,Table1[[#This Row],[Months List]])</f>
        <v>0</v>
      </c>
      <c r="U588" t="str">
        <f>TEXT(Table1[[#This Row],[Hiring Date]],"dddd")</f>
        <v>Wednesday</v>
      </c>
      <c r="V588" s="1" t="str">
        <f>TEXT(Table1[[#This Row],[Hiring Date]],"yyyy")</f>
        <v>2025</v>
      </c>
    </row>
    <row r="589" spans="1:22">
      <c r="A589" t="s">
        <v>208</v>
      </c>
      <c r="B589">
        <v>52</v>
      </c>
      <c r="C589">
        <v>699</v>
      </c>
      <c r="D589" t="s">
        <v>14</v>
      </c>
      <c r="E589" t="s">
        <v>1497</v>
      </c>
      <c r="F589" t="s">
        <v>1496</v>
      </c>
      <c r="G589">
        <v>65</v>
      </c>
      <c r="H589">
        <v>2</v>
      </c>
      <c r="I589">
        <v>5</v>
      </c>
      <c r="J589" t="s">
        <v>1482</v>
      </c>
      <c r="K589" t="s">
        <v>1483</v>
      </c>
      <c r="L589">
        <v>3</v>
      </c>
      <c r="M589" t="s">
        <v>15</v>
      </c>
      <c r="N589">
        <v>0</v>
      </c>
      <c r="O589" t="s">
        <v>13</v>
      </c>
      <c r="P589">
        <v>34</v>
      </c>
      <c r="Q589" s="4">
        <v>45956</v>
      </c>
      <c r="R589" s="4"/>
      <c r="S589" t="str">
        <f>TEXT(Table1[[#This Row],[Hiring Date]],"mmmm")</f>
        <v>October</v>
      </c>
      <c r="T589" s="1">
        <f>COUNTIF(S:S,Table1[[#This Row],[Months List]])</f>
        <v>0</v>
      </c>
      <c r="U589" t="str">
        <f>TEXT(Table1[[#This Row],[Hiring Date]],"dddd")</f>
        <v>Sunday</v>
      </c>
      <c r="V589" s="1" t="str">
        <f>TEXT(Table1[[#This Row],[Hiring Date]],"yyyy")</f>
        <v>2025</v>
      </c>
    </row>
    <row r="590" spans="1:22">
      <c r="A590" t="s">
        <v>209</v>
      </c>
      <c r="B590">
        <v>27</v>
      </c>
      <c r="C590">
        <v>894</v>
      </c>
      <c r="D590" t="s">
        <v>14</v>
      </c>
      <c r="E590" t="s">
        <v>1495</v>
      </c>
      <c r="F590" t="s">
        <v>1499</v>
      </c>
      <c r="G590">
        <v>99</v>
      </c>
      <c r="H590">
        <v>3</v>
      </c>
      <c r="I590">
        <v>1</v>
      </c>
      <c r="J590" t="s">
        <v>1476</v>
      </c>
      <c r="K590" t="s">
        <v>1477</v>
      </c>
      <c r="L590">
        <v>2</v>
      </c>
      <c r="M590" t="s">
        <v>12</v>
      </c>
      <c r="N590">
        <v>1</v>
      </c>
      <c r="O590" t="s">
        <v>13</v>
      </c>
      <c r="P590">
        <v>7</v>
      </c>
      <c r="Q590" s="4">
        <v>45665</v>
      </c>
      <c r="R590" s="4"/>
      <c r="S590" t="str">
        <f>TEXT(Table1[[#This Row],[Hiring Date]],"mmmm")</f>
        <v>January</v>
      </c>
      <c r="T590" s="1">
        <f>COUNTIF(S:S,Table1[[#This Row],[Months List]])</f>
        <v>0</v>
      </c>
      <c r="U590" t="str">
        <f>TEXT(Table1[[#This Row],[Hiring Date]],"dddd")</f>
        <v>Wednesday</v>
      </c>
      <c r="V590" s="1" t="str">
        <f>TEXT(Table1[[#This Row],[Hiring Date]],"yyyy")</f>
        <v>2025</v>
      </c>
    </row>
    <row r="591" spans="1:22">
      <c r="A591" t="s">
        <v>210</v>
      </c>
      <c r="B591">
        <v>35</v>
      </c>
      <c r="C591">
        <v>556</v>
      </c>
      <c r="D591" t="s">
        <v>14</v>
      </c>
      <c r="E591" t="s">
        <v>1497</v>
      </c>
      <c r="F591" t="s">
        <v>1496</v>
      </c>
      <c r="G591">
        <v>50</v>
      </c>
      <c r="H591">
        <v>2</v>
      </c>
      <c r="I591">
        <v>2</v>
      </c>
      <c r="J591" t="s">
        <v>1480</v>
      </c>
      <c r="K591" t="s">
        <v>1481</v>
      </c>
      <c r="L591">
        <v>3</v>
      </c>
      <c r="M591" t="s">
        <v>15</v>
      </c>
      <c r="N591">
        <v>3</v>
      </c>
      <c r="O591" t="s">
        <v>10</v>
      </c>
      <c r="P591">
        <v>8</v>
      </c>
      <c r="Q591" s="4">
        <v>45808</v>
      </c>
      <c r="R591" s="4"/>
      <c r="S591" t="str">
        <f>TEXT(Table1[[#This Row],[Hiring Date]],"mmmm")</f>
        <v>May</v>
      </c>
      <c r="T591" s="1">
        <f>COUNTIF(S:S,Table1[[#This Row],[Months List]])</f>
        <v>0</v>
      </c>
      <c r="U591" t="str">
        <f>TEXT(Table1[[#This Row],[Hiring Date]],"dddd")</f>
        <v>Saturday</v>
      </c>
      <c r="V591" s="1" t="str">
        <f>TEXT(Table1[[#This Row],[Hiring Date]],"yyyy")</f>
        <v>2025</v>
      </c>
    </row>
    <row r="592" spans="1:22">
      <c r="A592" t="s">
        <v>211</v>
      </c>
      <c r="B592">
        <v>43</v>
      </c>
      <c r="C592">
        <v>1344</v>
      </c>
      <c r="D592" t="s">
        <v>14</v>
      </c>
      <c r="E592" t="s">
        <v>1495</v>
      </c>
      <c r="F592" t="s">
        <v>1496</v>
      </c>
      <c r="G592">
        <v>37</v>
      </c>
      <c r="H592">
        <v>4</v>
      </c>
      <c r="I592">
        <v>1</v>
      </c>
      <c r="J592" t="s">
        <v>1476</v>
      </c>
      <c r="K592" t="s">
        <v>1477</v>
      </c>
      <c r="L592">
        <v>4</v>
      </c>
      <c r="M592" t="s">
        <v>16</v>
      </c>
      <c r="N592">
        <v>4</v>
      </c>
      <c r="O592" t="s">
        <v>13</v>
      </c>
      <c r="P592">
        <v>7</v>
      </c>
      <c r="Q592" s="4">
        <v>45791</v>
      </c>
      <c r="R592" s="4"/>
      <c r="S592" t="str">
        <f>TEXT(Table1[[#This Row],[Hiring Date]],"mmmm")</f>
        <v>May</v>
      </c>
      <c r="T592" s="1">
        <f>COUNTIF(S:S,Table1[[#This Row],[Months List]])</f>
        <v>0</v>
      </c>
      <c r="U592" t="str">
        <f>TEXT(Table1[[#This Row],[Hiring Date]],"dddd")</f>
        <v>Wednesday</v>
      </c>
      <c r="V592" s="1" t="str">
        <f>TEXT(Table1[[#This Row],[Hiring Date]],"yyyy")</f>
        <v>2025</v>
      </c>
    </row>
    <row r="593" spans="1:22">
      <c r="A593" t="s">
        <v>212</v>
      </c>
      <c r="B593">
        <v>45</v>
      </c>
      <c r="C593">
        <v>1195</v>
      </c>
      <c r="D593" t="s">
        <v>14</v>
      </c>
      <c r="E593" t="s">
        <v>1495</v>
      </c>
      <c r="F593" t="s">
        <v>1496</v>
      </c>
      <c r="G593">
        <v>65</v>
      </c>
      <c r="H593">
        <v>2</v>
      </c>
      <c r="I593">
        <v>4</v>
      </c>
      <c r="J593" t="s">
        <v>1482</v>
      </c>
      <c r="K593" t="s">
        <v>1483</v>
      </c>
      <c r="L593">
        <v>4</v>
      </c>
      <c r="M593" t="s">
        <v>15</v>
      </c>
      <c r="N593">
        <v>9</v>
      </c>
      <c r="O593" t="s">
        <v>13</v>
      </c>
      <c r="P593">
        <v>22</v>
      </c>
      <c r="Q593" s="4">
        <v>45709</v>
      </c>
      <c r="R593" s="4"/>
      <c r="S593" t="str">
        <f>TEXT(Table1[[#This Row],[Hiring Date]],"mmmm")</f>
        <v>February</v>
      </c>
      <c r="T593" s="1">
        <f>COUNTIF(S:S,Table1[[#This Row],[Months List]])</f>
        <v>0</v>
      </c>
      <c r="U593" t="str">
        <f>TEXT(Table1[[#This Row],[Hiring Date]],"dddd")</f>
        <v>Friday</v>
      </c>
      <c r="V593" s="1" t="str">
        <f>TEXT(Table1[[#This Row],[Hiring Date]],"yyyy")</f>
        <v>2025</v>
      </c>
    </row>
    <row r="594" spans="1:22">
      <c r="A594" t="s">
        <v>213</v>
      </c>
      <c r="B594">
        <v>37</v>
      </c>
      <c r="C594">
        <v>290</v>
      </c>
      <c r="D594" t="s">
        <v>14</v>
      </c>
      <c r="E594" t="s">
        <v>1497</v>
      </c>
      <c r="F594" t="s">
        <v>1496</v>
      </c>
      <c r="G594">
        <v>65</v>
      </c>
      <c r="H594">
        <v>4</v>
      </c>
      <c r="I594">
        <v>1</v>
      </c>
      <c r="J594" t="s">
        <v>1476</v>
      </c>
      <c r="K594" t="s">
        <v>1477</v>
      </c>
      <c r="L594">
        <v>1</v>
      </c>
      <c r="M594" t="s">
        <v>15</v>
      </c>
      <c r="N594">
        <v>1</v>
      </c>
      <c r="O594" t="s">
        <v>10</v>
      </c>
      <c r="P594">
        <v>8</v>
      </c>
      <c r="Q594" s="4">
        <v>45982</v>
      </c>
      <c r="R594" s="4"/>
      <c r="S594" t="str">
        <f>TEXT(Table1[[#This Row],[Hiring Date]],"mmmm")</f>
        <v>November</v>
      </c>
      <c r="T594" s="1">
        <f>COUNTIF(S:S,Table1[[#This Row],[Months List]])</f>
        <v>0</v>
      </c>
      <c r="U594" t="str">
        <f>TEXT(Table1[[#This Row],[Hiring Date]],"dddd")</f>
        <v>Friday</v>
      </c>
      <c r="V594" s="1" t="str">
        <f>TEXT(Table1[[#This Row],[Hiring Date]],"yyyy")</f>
        <v>2025</v>
      </c>
    </row>
    <row r="595" spans="1:22">
      <c r="A595" t="s">
        <v>214</v>
      </c>
      <c r="B595">
        <v>35</v>
      </c>
      <c r="C595">
        <v>138</v>
      </c>
      <c r="D595" t="s">
        <v>14</v>
      </c>
      <c r="E595" t="s">
        <v>1495</v>
      </c>
      <c r="F595" t="s">
        <v>1499</v>
      </c>
      <c r="G595">
        <v>37</v>
      </c>
      <c r="H595">
        <v>3</v>
      </c>
      <c r="I595">
        <v>2</v>
      </c>
      <c r="J595" t="s">
        <v>1484</v>
      </c>
      <c r="K595" t="s">
        <v>1485</v>
      </c>
      <c r="L595">
        <v>2</v>
      </c>
      <c r="M595" t="s">
        <v>12</v>
      </c>
      <c r="N595">
        <v>5</v>
      </c>
      <c r="O595" t="s">
        <v>13</v>
      </c>
      <c r="P595">
        <v>10</v>
      </c>
      <c r="Q595" s="4">
        <v>45910</v>
      </c>
      <c r="R595" s="4"/>
      <c r="S595" t="str">
        <f>TEXT(Table1[[#This Row],[Hiring Date]],"mmmm")</f>
        <v>September</v>
      </c>
      <c r="T595" s="1">
        <f>COUNTIF(S:S,Table1[[#This Row],[Months List]])</f>
        <v>0</v>
      </c>
      <c r="U595" t="str">
        <f>TEXT(Table1[[#This Row],[Hiring Date]],"dddd")</f>
        <v>Wednesday</v>
      </c>
      <c r="V595" s="1" t="str">
        <f>TEXT(Table1[[#This Row],[Hiring Date]],"yyyy")</f>
        <v>2025</v>
      </c>
    </row>
    <row r="596" spans="1:22">
      <c r="A596" t="s">
        <v>215</v>
      </c>
      <c r="B596">
        <v>42</v>
      </c>
      <c r="C596">
        <v>926</v>
      </c>
      <c r="D596" t="s">
        <v>14</v>
      </c>
      <c r="E596" t="s">
        <v>1495</v>
      </c>
      <c r="F596" t="s">
        <v>1499</v>
      </c>
      <c r="G596">
        <v>36</v>
      </c>
      <c r="H596">
        <v>3</v>
      </c>
      <c r="I596">
        <v>2</v>
      </c>
      <c r="J596" t="s">
        <v>1480</v>
      </c>
      <c r="K596" t="s">
        <v>1481</v>
      </c>
      <c r="L596">
        <v>3</v>
      </c>
      <c r="M596" t="s">
        <v>16</v>
      </c>
      <c r="N596">
        <v>2</v>
      </c>
      <c r="O596" t="s">
        <v>13</v>
      </c>
      <c r="P596">
        <v>11</v>
      </c>
      <c r="Q596" s="4">
        <v>45859</v>
      </c>
      <c r="R596" s="4"/>
      <c r="S596" t="str">
        <f>TEXT(Table1[[#This Row],[Hiring Date]],"mmmm")</f>
        <v>July</v>
      </c>
      <c r="T596" s="1">
        <f>COUNTIF(S:S,Table1[[#This Row],[Months List]])</f>
        <v>0</v>
      </c>
      <c r="U596" t="str">
        <f>TEXT(Table1[[#This Row],[Hiring Date]],"dddd")</f>
        <v>Monday</v>
      </c>
      <c r="V596" s="1" t="str">
        <f>TEXT(Table1[[#This Row],[Hiring Date]],"yyyy")</f>
        <v>2025</v>
      </c>
    </row>
    <row r="597" spans="1:22">
      <c r="A597" t="s">
        <v>216</v>
      </c>
      <c r="B597">
        <v>38</v>
      </c>
      <c r="C597">
        <v>1261</v>
      </c>
      <c r="D597" t="s">
        <v>14</v>
      </c>
      <c r="E597" t="s">
        <v>1497</v>
      </c>
      <c r="F597" t="s">
        <v>1496</v>
      </c>
      <c r="G597">
        <v>88</v>
      </c>
      <c r="H597">
        <v>3</v>
      </c>
      <c r="I597">
        <v>2</v>
      </c>
      <c r="J597" t="s">
        <v>1480</v>
      </c>
      <c r="K597" t="s">
        <v>1481</v>
      </c>
      <c r="L597">
        <v>3</v>
      </c>
      <c r="M597" t="s">
        <v>15</v>
      </c>
      <c r="N597">
        <v>9</v>
      </c>
      <c r="O597" t="s">
        <v>13</v>
      </c>
      <c r="P597">
        <v>14</v>
      </c>
      <c r="Q597" s="4">
        <v>45984</v>
      </c>
      <c r="R597" s="4"/>
      <c r="S597" t="str">
        <f>TEXT(Table1[[#This Row],[Hiring Date]],"mmmm")</f>
        <v>November</v>
      </c>
      <c r="T597" s="1">
        <f>COUNTIF(S:S,Table1[[#This Row],[Months List]])</f>
        <v>0</v>
      </c>
      <c r="U597" t="str">
        <f>TEXT(Table1[[#This Row],[Hiring Date]],"dddd")</f>
        <v>Sunday</v>
      </c>
      <c r="V597" s="1" t="str">
        <f>TEXT(Table1[[#This Row],[Hiring Date]],"yyyy")</f>
        <v>2025</v>
      </c>
    </row>
    <row r="598" spans="1:22">
      <c r="A598" t="s">
        <v>28</v>
      </c>
      <c r="B598">
        <v>35</v>
      </c>
      <c r="C598">
        <v>809</v>
      </c>
      <c r="D598" t="s">
        <v>14</v>
      </c>
      <c r="E598" t="s">
        <v>1495</v>
      </c>
      <c r="F598" t="s">
        <v>1496</v>
      </c>
      <c r="G598">
        <v>84</v>
      </c>
      <c r="H598">
        <v>4</v>
      </c>
      <c r="I598">
        <v>1</v>
      </c>
      <c r="J598" t="s">
        <v>1484</v>
      </c>
      <c r="K598" t="s">
        <v>1485</v>
      </c>
      <c r="L598">
        <v>2</v>
      </c>
      <c r="M598" t="s">
        <v>15</v>
      </c>
      <c r="N598">
        <v>0</v>
      </c>
      <c r="O598" t="s">
        <v>13</v>
      </c>
      <c r="P598">
        <v>6</v>
      </c>
      <c r="Q598" s="4">
        <v>45929</v>
      </c>
      <c r="R598" s="4"/>
      <c r="S598" t="str">
        <f>TEXT(Table1[[#This Row],[Hiring Date]],"mmmm")</f>
        <v>September</v>
      </c>
      <c r="T598" s="1">
        <f>COUNTIF(S:S,Table1[[#This Row],[Months List]])</f>
        <v>0</v>
      </c>
      <c r="U598" t="str">
        <f>TEXT(Table1[[#This Row],[Hiring Date]],"dddd")</f>
        <v>Monday</v>
      </c>
      <c r="V598" s="1" t="str">
        <f>TEXT(Table1[[#This Row],[Hiring Date]],"yyyy")</f>
        <v>2025</v>
      </c>
    </row>
    <row r="599" spans="1:22">
      <c r="A599" t="s">
        <v>217</v>
      </c>
      <c r="B599">
        <v>38</v>
      </c>
      <c r="C599">
        <v>1084</v>
      </c>
      <c r="D599" t="s">
        <v>14</v>
      </c>
      <c r="E599" t="s">
        <v>1501</v>
      </c>
      <c r="F599" t="s">
        <v>1496</v>
      </c>
      <c r="G599">
        <v>54</v>
      </c>
      <c r="H599">
        <v>3</v>
      </c>
      <c r="I599">
        <v>2</v>
      </c>
      <c r="J599" t="s">
        <v>1480</v>
      </c>
      <c r="K599" t="s">
        <v>1481</v>
      </c>
      <c r="L599">
        <v>4</v>
      </c>
      <c r="M599" t="s">
        <v>15</v>
      </c>
      <c r="N599">
        <v>3</v>
      </c>
      <c r="O599" t="s">
        <v>13</v>
      </c>
      <c r="P599">
        <v>9</v>
      </c>
      <c r="Q599" s="4">
        <v>45867</v>
      </c>
      <c r="R599" s="4"/>
      <c r="S599" t="str">
        <f>TEXT(Table1[[#This Row],[Hiring Date]],"mmmm")</f>
        <v>July</v>
      </c>
      <c r="T599" s="1">
        <f>COUNTIF(S:S,Table1[[#This Row],[Months List]])</f>
        <v>0</v>
      </c>
      <c r="U599" t="str">
        <f>TEXT(Table1[[#This Row],[Hiring Date]],"dddd")</f>
        <v>Tuesday</v>
      </c>
      <c r="V599" s="1" t="str">
        <f>TEXT(Table1[[#This Row],[Hiring Date]],"yyyy")</f>
        <v>2025</v>
      </c>
    </row>
    <row r="600" spans="1:22">
      <c r="A600" t="s">
        <v>218</v>
      </c>
      <c r="B600">
        <v>27</v>
      </c>
      <c r="C600">
        <v>472</v>
      </c>
      <c r="D600" t="s">
        <v>14</v>
      </c>
      <c r="E600" t="s">
        <v>1501</v>
      </c>
      <c r="F600" t="s">
        <v>1496</v>
      </c>
      <c r="G600">
        <v>60</v>
      </c>
      <c r="H600">
        <v>2</v>
      </c>
      <c r="I600">
        <v>2</v>
      </c>
      <c r="J600" t="s">
        <v>1480</v>
      </c>
      <c r="K600" t="s">
        <v>1481</v>
      </c>
      <c r="L600">
        <v>1</v>
      </c>
      <c r="M600" t="s">
        <v>15</v>
      </c>
      <c r="N600">
        <v>5</v>
      </c>
      <c r="O600" t="s">
        <v>13</v>
      </c>
      <c r="P600">
        <v>6</v>
      </c>
      <c r="Q600" s="4">
        <v>45643</v>
      </c>
      <c r="R600" s="4"/>
      <c r="S600" t="str">
        <f>TEXT(Table1[[#This Row],[Hiring Date]],"mmmm")</f>
        <v>December</v>
      </c>
      <c r="T600" s="1">
        <f>COUNTIF(S:S,Table1[[#This Row],[Months List]])</f>
        <v>0</v>
      </c>
      <c r="U600" t="str">
        <f>TEXT(Table1[[#This Row],[Hiring Date]],"dddd")</f>
        <v>Tuesday</v>
      </c>
      <c r="V600" s="1" t="str">
        <f>TEXT(Table1[[#This Row],[Hiring Date]],"yyyy")</f>
        <v>2024</v>
      </c>
    </row>
    <row r="601" spans="1:22">
      <c r="A601" t="s">
        <v>219</v>
      </c>
      <c r="B601">
        <v>49</v>
      </c>
      <c r="C601">
        <v>1002</v>
      </c>
      <c r="D601" t="s">
        <v>14</v>
      </c>
      <c r="E601" t="s">
        <v>1497</v>
      </c>
      <c r="F601" t="s">
        <v>1496</v>
      </c>
      <c r="G601">
        <v>92</v>
      </c>
      <c r="H601">
        <v>3</v>
      </c>
      <c r="I601">
        <v>2</v>
      </c>
      <c r="J601" t="s">
        <v>1480</v>
      </c>
      <c r="K601" t="s">
        <v>1481</v>
      </c>
      <c r="L601">
        <v>4</v>
      </c>
      <c r="M601" t="s">
        <v>16</v>
      </c>
      <c r="N601">
        <v>1</v>
      </c>
      <c r="O601" t="s">
        <v>10</v>
      </c>
      <c r="P601">
        <v>7</v>
      </c>
      <c r="Q601" s="4">
        <v>45664</v>
      </c>
      <c r="R601" s="4"/>
      <c r="S601" t="str">
        <f>TEXT(Table1[[#This Row],[Hiring Date]],"mmmm")</f>
        <v>January</v>
      </c>
      <c r="T601" s="1">
        <f>COUNTIF(S:S,Table1[[#This Row],[Months List]])</f>
        <v>0</v>
      </c>
      <c r="U601" t="str">
        <f>TEXT(Table1[[#This Row],[Hiring Date]],"dddd")</f>
        <v>Tuesday</v>
      </c>
      <c r="V601" s="1" t="str">
        <f>TEXT(Table1[[#This Row],[Hiring Date]],"yyyy")</f>
        <v>2025</v>
      </c>
    </row>
    <row r="602" spans="1:22">
      <c r="A602" t="s">
        <v>220</v>
      </c>
      <c r="B602">
        <v>34</v>
      </c>
      <c r="C602">
        <v>878</v>
      </c>
      <c r="D602" t="s">
        <v>14</v>
      </c>
      <c r="E602" t="s">
        <v>1495</v>
      </c>
      <c r="F602" t="s">
        <v>1496</v>
      </c>
      <c r="G602">
        <v>43</v>
      </c>
      <c r="H602">
        <v>3</v>
      </c>
      <c r="I602">
        <v>1</v>
      </c>
      <c r="J602" t="s">
        <v>1476</v>
      </c>
      <c r="K602" t="s">
        <v>1477</v>
      </c>
      <c r="L602">
        <v>3</v>
      </c>
      <c r="M602" t="s">
        <v>16</v>
      </c>
      <c r="N602">
        <v>1</v>
      </c>
      <c r="O602" t="s">
        <v>10</v>
      </c>
      <c r="P602">
        <v>5</v>
      </c>
      <c r="Q602" s="4">
        <v>45709</v>
      </c>
      <c r="R602" s="4"/>
      <c r="S602" t="str">
        <f>TEXT(Table1[[#This Row],[Hiring Date]],"mmmm")</f>
        <v>February</v>
      </c>
      <c r="T602" s="1">
        <f>COUNTIF(S:S,Table1[[#This Row],[Months List]])</f>
        <v>0</v>
      </c>
      <c r="U602" t="str">
        <f>TEXT(Table1[[#This Row],[Hiring Date]],"dddd")</f>
        <v>Friday</v>
      </c>
      <c r="V602" s="1" t="str">
        <f>TEXT(Table1[[#This Row],[Hiring Date]],"yyyy")</f>
        <v>2025</v>
      </c>
    </row>
    <row r="603" spans="1:22">
      <c r="A603" t="s">
        <v>221</v>
      </c>
      <c r="B603">
        <v>40</v>
      </c>
      <c r="C603">
        <v>905</v>
      </c>
      <c r="D603" t="s">
        <v>14</v>
      </c>
      <c r="E603" t="s">
        <v>1495</v>
      </c>
      <c r="F603" t="s">
        <v>1496</v>
      </c>
      <c r="G603">
        <v>99</v>
      </c>
      <c r="H603">
        <v>3</v>
      </c>
      <c r="I603">
        <v>2</v>
      </c>
      <c r="J603" t="s">
        <v>1484</v>
      </c>
      <c r="K603" t="s">
        <v>1485</v>
      </c>
      <c r="L603">
        <v>4</v>
      </c>
      <c r="M603" t="s">
        <v>15</v>
      </c>
      <c r="N603">
        <v>8</v>
      </c>
      <c r="O603" t="s">
        <v>10</v>
      </c>
      <c r="P603">
        <v>15</v>
      </c>
      <c r="Q603" s="4">
        <v>45668</v>
      </c>
      <c r="R603" s="4"/>
      <c r="S603" t="str">
        <f>TEXT(Table1[[#This Row],[Hiring Date]],"mmmm")</f>
        <v>January</v>
      </c>
      <c r="T603" s="1">
        <f>COUNTIF(S:S,Table1[[#This Row],[Months List]])</f>
        <v>0</v>
      </c>
      <c r="U603" t="str">
        <f>TEXT(Table1[[#This Row],[Hiring Date]],"dddd")</f>
        <v>Saturday</v>
      </c>
      <c r="V603" s="1" t="str">
        <f>TEXT(Table1[[#This Row],[Hiring Date]],"yyyy")</f>
        <v>2025</v>
      </c>
    </row>
    <row r="604" spans="1:22">
      <c r="A604" t="s">
        <v>222</v>
      </c>
      <c r="B604">
        <v>38</v>
      </c>
      <c r="C604">
        <v>1180</v>
      </c>
      <c r="D604" t="s">
        <v>14</v>
      </c>
      <c r="E604" t="s">
        <v>1495</v>
      </c>
      <c r="F604" t="s">
        <v>1496</v>
      </c>
      <c r="G604">
        <v>70</v>
      </c>
      <c r="H604">
        <v>3</v>
      </c>
      <c r="I604">
        <v>2</v>
      </c>
      <c r="J604" t="s">
        <v>1478</v>
      </c>
      <c r="K604" t="s">
        <v>1479</v>
      </c>
      <c r="L604">
        <v>1</v>
      </c>
      <c r="M604" t="s">
        <v>15</v>
      </c>
      <c r="N604">
        <v>7</v>
      </c>
      <c r="O604" t="s">
        <v>10</v>
      </c>
      <c r="P604">
        <v>17</v>
      </c>
      <c r="Q604" s="4">
        <v>45940</v>
      </c>
      <c r="R604" s="4"/>
      <c r="S604" t="str">
        <f>TEXT(Table1[[#This Row],[Hiring Date]],"mmmm")</f>
        <v>October</v>
      </c>
      <c r="T604" s="1">
        <f>COUNTIF(S:S,Table1[[#This Row],[Months List]])</f>
        <v>0</v>
      </c>
      <c r="U604" t="str">
        <f>TEXT(Table1[[#This Row],[Hiring Date]],"dddd")</f>
        <v>Friday</v>
      </c>
      <c r="V604" s="1" t="str">
        <f>TEXT(Table1[[#This Row],[Hiring Date]],"yyyy")</f>
        <v>2025</v>
      </c>
    </row>
    <row r="605" spans="1:22">
      <c r="A605" t="s">
        <v>223</v>
      </c>
      <c r="B605">
        <v>29</v>
      </c>
      <c r="C605">
        <v>121</v>
      </c>
      <c r="D605" t="s">
        <v>11</v>
      </c>
      <c r="E605" t="s">
        <v>1498</v>
      </c>
      <c r="F605" t="s">
        <v>1499</v>
      </c>
      <c r="G605">
        <v>35</v>
      </c>
      <c r="H605">
        <v>3</v>
      </c>
      <c r="I605">
        <v>3</v>
      </c>
      <c r="J605" t="s">
        <v>1474</v>
      </c>
      <c r="K605" t="s">
        <v>1475</v>
      </c>
      <c r="L605">
        <v>4</v>
      </c>
      <c r="M605" t="s">
        <v>15</v>
      </c>
      <c r="N605">
        <v>1</v>
      </c>
      <c r="O605" t="s">
        <v>13</v>
      </c>
      <c r="P605">
        <v>10</v>
      </c>
      <c r="Q605" s="4">
        <v>45907</v>
      </c>
      <c r="R605" s="4"/>
      <c r="S605" t="str">
        <f>TEXT(Table1[[#This Row],[Hiring Date]],"mmmm")</f>
        <v>September</v>
      </c>
      <c r="T605" s="1">
        <f>COUNTIF(S:S,Table1[[#This Row],[Months List]])</f>
        <v>0</v>
      </c>
      <c r="U605" t="str">
        <f>TEXT(Table1[[#This Row],[Hiring Date]],"dddd")</f>
        <v>Sunday</v>
      </c>
      <c r="V605" s="1" t="str">
        <f>TEXT(Table1[[#This Row],[Hiring Date]],"yyyy")</f>
        <v>2025</v>
      </c>
    </row>
    <row r="606" spans="1:22">
      <c r="A606" t="s">
        <v>224</v>
      </c>
      <c r="B606">
        <v>22</v>
      </c>
      <c r="C606">
        <v>1136</v>
      </c>
      <c r="D606" t="s">
        <v>14</v>
      </c>
      <c r="E606" t="s">
        <v>1497</v>
      </c>
      <c r="F606" t="s">
        <v>1496</v>
      </c>
      <c r="G606">
        <v>60</v>
      </c>
      <c r="H606">
        <v>4</v>
      </c>
      <c r="I606">
        <v>1</v>
      </c>
      <c r="J606" t="s">
        <v>1476</v>
      </c>
      <c r="K606" t="s">
        <v>1477</v>
      </c>
      <c r="L606">
        <v>2</v>
      </c>
      <c r="M606" t="s">
        <v>16</v>
      </c>
      <c r="N606">
        <v>1</v>
      </c>
      <c r="O606" t="s">
        <v>10</v>
      </c>
      <c r="P606">
        <v>4</v>
      </c>
      <c r="Q606" s="4">
        <v>45975</v>
      </c>
      <c r="R606" s="4"/>
      <c r="S606" t="str">
        <f>TEXT(Table1[[#This Row],[Hiring Date]],"mmmm")</f>
        <v>November</v>
      </c>
      <c r="T606" s="1">
        <f>COUNTIF(S:S,Table1[[#This Row],[Months List]])</f>
        <v>0</v>
      </c>
      <c r="U606" t="str">
        <f>TEXT(Table1[[#This Row],[Hiring Date]],"dddd")</f>
        <v>Friday</v>
      </c>
      <c r="V606" s="1" t="str">
        <f>TEXT(Table1[[#This Row],[Hiring Date]],"yyyy")</f>
        <v>2025</v>
      </c>
    </row>
    <row r="607" spans="1:22">
      <c r="A607" t="s">
        <v>225</v>
      </c>
      <c r="B607">
        <v>36</v>
      </c>
      <c r="C607">
        <v>635</v>
      </c>
      <c r="D607" t="s">
        <v>14</v>
      </c>
      <c r="E607" t="s">
        <v>1495</v>
      </c>
      <c r="F607" t="s">
        <v>1499</v>
      </c>
      <c r="G607">
        <v>73</v>
      </c>
      <c r="H607">
        <v>3</v>
      </c>
      <c r="I607">
        <v>1</v>
      </c>
      <c r="J607" t="s">
        <v>1484</v>
      </c>
      <c r="K607" t="s">
        <v>1485</v>
      </c>
      <c r="L607">
        <v>4</v>
      </c>
      <c r="M607" t="s">
        <v>12</v>
      </c>
      <c r="N607">
        <v>1</v>
      </c>
      <c r="O607" t="s">
        <v>13</v>
      </c>
      <c r="P607">
        <v>8</v>
      </c>
      <c r="Q607" s="4">
        <v>45859</v>
      </c>
      <c r="R607" s="4"/>
      <c r="S607" t="str">
        <f>TEXT(Table1[[#This Row],[Hiring Date]],"mmmm")</f>
        <v>July</v>
      </c>
      <c r="T607" s="1">
        <f>COUNTIF(S:S,Table1[[#This Row],[Months List]])</f>
        <v>0</v>
      </c>
      <c r="U607" t="str">
        <f>TEXT(Table1[[#This Row],[Hiring Date]],"dddd")</f>
        <v>Monday</v>
      </c>
      <c r="V607" s="1" t="str">
        <f>TEXT(Table1[[#This Row],[Hiring Date]],"yyyy")</f>
        <v>2025</v>
      </c>
    </row>
    <row r="608" spans="1:22">
      <c r="A608" t="s">
        <v>226</v>
      </c>
      <c r="B608">
        <v>40</v>
      </c>
      <c r="C608">
        <v>1151</v>
      </c>
      <c r="D608" t="s">
        <v>14</v>
      </c>
      <c r="E608" t="s">
        <v>1497</v>
      </c>
      <c r="F608" t="s">
        <v>1496</v>
      </c>
      <c r="G608">
        <v>63</v>
      </c>
      <c r="H608">
        <v>2</v>
      </c>
      <c r="I608">
        <v>2</v>
      </c>
      <c r="J608" t="s">
        <v>1478</v>
      </c>
      <c r="K608" t="s">
        <v>1479</v>
      </c>
      <c r="L608">
        <v>4</v>
      </c>
      <c r="M608" t="s">
        <v>15</v>
      </c>
      <c r="N608">
        <v>9</v>
      </c>
      <c r="O608" t="s">
        <v>13</v>
      </c>
      <c r="P608">
        <v>5</v>
      </c>
      <c r="Q608" s="4">
        <v>45900</v>
      </c>
      <c r="R608" s="4"/>
      <c r="S608" t="str">
        <f>TEXT(Table1[[#This Row],[Hiring Date]],"mmmm")</f>
        <v>August</v>
      </c>
      <c r="T608" s="1">
        <f>COUNTIF(S:S,Table1[[#This Row],[Months List]])</f>
        <v>0</v>
      </c>
      <c r="U608" t="str">
        <f>TEXT(Table1[[#This Row],[Hiring Date]],"dddd")</f>
        <v>Sunday</v>
      </c>
      <c r="V608" s="1" t="str">
        <f>TEXT(Table1[[#This Row],[Hiring Date]],"yyyy")</f>
        <v>2025</v>
      </c>
    </row>
    <row r="609" spans="1:22">
      <c r="A609" t="s">
        <v>29</v>
      </c>
      <c r="B609">
        <v>29</v>
      </c>
      <c r="C609">
        <v>153</v>
      </c>
      <c r="D609" t="s">
        <v>14</v>
      </c>
      <c r="E609" t="s">
        <v>1497</v>
      </c>
      <c r="F609" t="s">
        <v>1499</v>
      </c>
      <c r="G609">
        <v>49</v>
      </c>
      <c r="H609">
        <v>2</v>
      </c>
      <c r="I609">
        <v>2</v>
      </c>
      <c r="J609" t="s">
        <v>1484</v>
      </c>
      <c r="K609" t="s">
        <v>1485</v>
      </c>
      <c r="L609">
        <v>3</v>
      </c>
      <c r="M609" t="s">
        <v>12</v>
      </c>
      <c r="N609">
        <v>0</v>
      </c>
      <c r="O609" t="s">
        <v>10</v>
      </c>
      <c r="P609">
        <v>10</v>
      </c>
      <c r="Q609" s="4">
        <v>45933</v>
      </c>
      <c r="R609" s="4"/>
      <c r="S609" t="str">
        <f>TEXT(Table1[[#This Row],[Hiring Date]],"mmmm")</f>
        <v>October</v>
      </c>
      <c r="T609" s="1">
        <f>COUNTIF(S:S,Table1[[#This Row],[Months List]])</f>
        <v>0</v>
      </c>
      <c r="U609" t="str">
        <f>TEXT(Table1[[#This Row],[Hiring Date]],"dddd")</f>
        <v>Friday</v>
      </c>
      <c r="V609" s="1" t="str">
        <f>TEXT(Table1[[#This Row],[Hiring Date]],"yyyy")</f>
        <v>2025</v>
      </c>
    </row>
    <row r="610" spans="1:22">
      <c r="A610" t="s">
        <v>227</v>
      </c>
      <c r="B610">
        <v>46</v>
      </c>
      <c r="C610">
        <v>644</v>
      </c>
      <c r="D610" t="s">
        <v>14</v>
      </c>
      <c r="E610" t="s">
        <v>1495</v>
      </c>
      <c r="F610" t="s">
        <v>1496</v>
      </c>
      <c r="G610">
        <v>97</v>
      </c>
      <c r="H610">
        <v>3</v>
      </c>
      <c r="I610">
        <v>3</v>
      </c>
      <c r="J610" t="s">
        <v>1478</v>
      </c>
      <c r="K610" t="s">
        <v>1479</v>
      </c>
      <c r="L610">
        <v>1</v>
      </c>
      <c r="M610" t="s">
        <v>16</v>
      </c>
      <c r="N610">
        <v>7</v>
      </c>
      <c r="O610" t="s">
        <v>13</v>
      </c>
      <c r="P610">
        <v>17</v>
      </c>
      <c r="Q610" s="4">
        <v>45988</v>
      </c>
      <c r="R610" s="4"/>
      <c r="S610" t="str">
        <f>TEXT(Table1[[#This Row],[Hiring Date]],"mmmm")</f>
        <v>November</v>
      </c>
      <c r="T610" s="1">
        <f>COUNTIF(S:S,Table1[[#This Row],[Months List]])</f>
        <v>0</v>
      </c>
      <c r="U610" t="str">
        <f>TEXT(Table1[[#This Row],[Hiring Date]],"dddd")</f>
        <v>Thursday</v>
      </c>
      <c r="V610" s="1" t="str">
        <f>TEXT(Table1[[#This Row],[Hiring Date]],"yyyy")</f>
        <v>2025</v>
      </c>
    </row>
    <row r="611" spans="1:22">
      <c r="A611" t="s">
        <v>228</v>
      </c>
      <c r="B611">
        <v>32</v>
      </c>
      <c r="C611">
        <v>1045</v>
      </c>
      <c r="D611" t="s">
        <v>11</v>
      </c>
      <c r="E611" t="s">
        <v>1495</v>
      </c>
      <c r="F611" t="s">
        <v>1496</v>
      </c>
      <c r="G611">
        <v>32</v>
      </c>
      <c r="H611">
        <v>1</v>
      </c>
      <c r="I611">
        <v>3</v>
      </c>
      <c r="J611" t="s">
        <v>1474</v>
      </c>
      <c r="K611" t="s">
        <v>1475</v>
      </c>
      <c r="L611">
        <v>4</v>
      </c>
      <c r="M611" t="s">
        <v>15</v>
      </c>
      <c r="N611">
        <v>1</v>
      </c>
      <c r="O611" t="s">
        <v>13</v>
      </c>
      <c r="P611">
        <v>14</v>
      </c>
      <c r="Q611" s="4">
        <v>45681</v>
      </c>
      <c r="R611" s="4"/>
      <c r="S611" t="str">
        <f>TEXT(Table1[[#This Row],[Hiring Date]],"mmmm")</f>
        <v>January</v>
      </c>
      <c r="T611" s="1">
        <f>COUNTIF(S:S,Table1[[#This Row],[Months List]])</f>
        <v>0</v>
      </c>
      <c r="U611" t="str">
        <f>TEXT(Table1[[#This Row],[Hiring Date]],"dddd")</f>
        <v>Friday</v>
      </c>
      <c r="V611" s="1" t="str">
        <f>TEXT(Table1[[#This Row],[Hiring Date]],"yyyy")</f>
        <v>2025</v>
      </c>
    </row>
    <row r="612" spans="1:22">
      <c r="A612" t="s">
        <v>229</v>
      </c>
      <c r="B612">
        <v>30</v>
      </c>
      <c r="C612">
        <v>829</v>
      </c>
      <c r="D612" t="s">
        <v>14</v>
      </c>
      <c r="E612" t="s">
        <v>1497</v>
      </c>
      <c r="F612" t="s">
        <v>1496</v>
      </c>
      <c r="G612">
        <v>88</v>
      </c>
      <c r="H612">
        <v>2</v>
      </c>
      <c r="I612">
        <v>3</v>
      </c>
      <c r="J612" t="s">
        <v>1480</v>
      </c>
      <c r="K612" t="s">
        <v>1481</v>
      </c>
      <c r="L612">
        <v>3</v>
      </c>
      <c r="M612" t="s">
        <v>12</v>
      </c>
      <c r="N612">
        <v>1</v>
      </c>
      <c r="O612" t="s">
        <v>13</v>
      </c>
      <c r="P612">
        <v>12</v>
      </c>
      <c r="Q612" s="4">
        <v>45991</v>
      </c>
      <c r="R612" s="4"/>
      <c r="S612" t="str">
        <f>TEXT(Table1[[#This Row],[Hiring Date]],"mmmm")</f>
        <v>November</v>
      </c>
      <c r="T612" s="1">
        <f>COUNTIF(S:S,Table1[[#This Row],[Months List]])</f>
        <v>0</v>
      </c>
      <c r="U612" t="str">
        <f>TEXT(Table1[[#This Row],[Hiring Date]],"dddd")</f>
        <v>Sunday</v>
      </c>
      <c r="V612" s="1" t="str">
        <f>TEXT(Table1[[#This Row],[Hiring Date]],"yyyy")</f>
        <v>2025</v>
      </c>
    </row>
    <row r="613" spans="1:22">
      <c r="A613" t="s">
        <v>230</v>
      </c>
      <c r="B613">
        <v>27</v>
      </c>
      <c r="C613">
        <v>1242</v>
      </c>
      <c r="D613" t="s">
        <v>11</v>
      </c>
      <c r="E613" t="s">
        <v>1497</v>
      </c>
      <c r="F613" t="s">
        <v>1499</v>
      </c>
      <c r="G613">
        <v>90</v>
      </c>
      <c r="H613">
        <v>3</v>
      </c>
      <c r="I613">
        <v>2</v>
      </c>
      <c r="J613" t="s">
        <v>1474</v>
      </c>
      <c r="K613" t="s">
        <v>1475</v>
      </c>
      <c r="L613">
        <v>3</v>
      </c>
      <c r="M613" t="s">
        <v>12</v>
      </c>
      <c r="N613">
        <v>1</v>
      </c>
      <c r="O613" t="s">
        <v>13</v>
      </c>
      <c r="P613">
        <v>7</v>
      </c>
      <c r="Q613" s="4">
        <v>45855</v>
      </c>
      <c r="R613" s="4"/>
      <c r="S613" t="str">
        <f>TEXT(Table1[[#This Row],[Hiring Date]],"mmmm")</f>
        <v>July</v>
      </c>
      <c r="T613" s="1">
        <f>COUNTIF(S:S,Table1[[#This Row],[Months List]])</f>
        <v>0</v>
      </c>
      <c r="U613" t="str">
        <f>TEXT(Table1[[#This Row],[Hiring Date]],"dddd")</f>
        <v>Thursday</v>
      </c>
      <c r="V613" s="1" t="str">
        <f>TEXT(Table1[[#This Row],[Hiring Date]],"yyyy")</f>
        <v>2025</v>
      </c>
    </row>
    <row r="614" spans="1:22">
      <c r="A614" t="s">
        <v>231</v>
      </c>
      <c r="B614">
        <v>51</v>
      </c>
      <c r="C614">
        <v>1469</v>
      </c>
      <c r="D614" t="s">
        <v>14</v>
      </c>
      <c r="E614" t="s">
        <v>1497</v>
      </c>
      <c r="F614" t="s">
        <v>1496</v>
      </c>
      <c r="G614">
        <v>81</v>
      </c>
      <c r="H614">
        <v>2</v>
      </c>
      <c r="I614">
        <v>3</v>
      </c>
      <c r="J614" t="s">
        <v>1487</v>
      </c>
      <c r="K614" t="s">
        <v>1488</v>
      </c>
      <c r="L614">
        <v>2</v>
      </c>
      <c r="M614" t="s">
        <v>15</v>
      </c>
      <c r="N614">
        <v>5</v>
      </c>
      <c r="O614" t="s">
        <v>13</v>
      </c>
      <c r="P614">
        <v>16</v>
      </c>
      <c r="Q614" s="4">
        <v>45734</v>
      </c>
      <c r="R614" s="4"/>
      <c r="S614" t="str">
        <f>TEXT(Table1[[#This Row],[Hiring Date]],"mmmm")</f>
        <v>March</v>
      </c>
      <c r="T614" s="1">
        <f>COUNTIF(S:S,Table1[[#This Row],[Months List]])</f>
        <v>0</v>
      </c>
      <c r="U614" t="str">
        <f>TEXT(Table1[[#This Row],[Hiring Date]],"dddd")</f>
        <v>Tuesday</v>
      </c>
      <c r="V614" s="1" t="str">
        <f>TEXT(Table1[[#This Row],[Hiring Date]],"yyyy")</f>
        <v>2025</v>
      </c>
    </row>
    <row r="615" spans="1:22">
      <c r="A615" t="s">
        <v>232</v>
      </c>
      <c r="B615">
        <v>30</v>
      </c>
      <c r="C615">
        <v>1005</v>
      </c>
      <c r="D615" t="s">
        <v>14</v>
      </c>
      <c r="E615" t="s">
        <v>1501</v>
      </c>
      <c r="F615" t="s">
        <v>1499</v>
      </c>
      <c r="G615">
        <v>88</v>
      </c>
      <c r="H615">
        <v>3</v>
      </c>
      <c r="I615">
        <v>1</v>
      </c>
      <c r="J615" t="s">
        <v>1476</v>
      </c>
      <c r="K615" t="s">
        <v>1477</v>
      </c>
      <c r="L615">
        <v>1</v>
      </c>
      <c r="M615" t="s">
        <v>12</v>
      </c>
      <c r="N615">
        <v>5</v>
      </c>
      <c r="O615" t="s">
        <v>10</v>
      </c>
      <c r="P615">
        <v>8</v>
      </c>
      <c r="Q615" s="4">
        <v>45806</v>
      </c>
      <c r="R615" s="4"/>
      <c r="S615" t="str">
        <f>TEXT(Table1[[#This Row],[Hiring Date]],"mmmm")</f>
        <v>May</v>
      </c>
      <c r="T615" s="1">
        <f>COUNTIF(S:S,Table1[[#This Row],[Months List]])</f>
        <v>0</v>
      </c>
      <c r="U615" t="str">
        <f>TEXT(Table1[[#This Row],[Hiring Date]],"dddd")</f>
        <v>Thursday</v>
      </c>
      <c r="V615" s="1" t="str">
        <f>TEXT(Table1[[#This Row],[Hiring Date]],"yyyy")</f>
        <v>2025</v>
      </c>
    </row>
    <row r="616" spans="1:22">
      <c r="A616" t="s">
        <v>233</v>
      </c>
      <c r="B616">
        <v>41</v>
      </c>
      <c r="C616">
        <v>896</v>
      </c>
      <c r="D616" t="s">
        <v>11</v>
      </c>
      <c r="E616" t="s">
        <v>1497</v>
      </c>
      <c r="F616" t="s">
        <v>1499</v>
      </c>
      <c r="G616">
        <v>75</v>
      </c>
      <c r="H616">
        <v>3</v>
      </c>
      <c r="I616">
        <v>3</v>
      </c>
      <c r="J616" t="s">
        <v>1482</v>
      </c>
      <c r="K616" t="s">
        <v>1483</v>
      </c>
      <c r="L616">
        <v>4</v>
      </c>
      <c r="M616" t="s">
        <v>12</v>
      </c>
      <c r="N616">
        <v>3</v>
      </c>
      <c r="O616" t="s">
        <v>10</v>
      </c>
      <c r="P616">
        <v>16</v>
      </c>
      <c r="Q616" s="4">
        <v>45780</v>
      </c>
      <c r="R616" s="4"/>
      <c r="S616" t="str">
        <f>TEXT(Table1[[#This Row],[Hiring Date]],"mmmm")</f>
        <v>May</v>
      </c>
      <c r="T616" s="1">
        <f>COUNTIF(S:S,Table1[[#This Row],[Months List]])</f>
        <v>0</v>
      </c>
      <c r="U616" t="str">
        <f>TEXT(Table1[[#This Row],[Hiring Date]],"dddd")</f>
        <v>Saturday</v>
      </c>
      <c r="V616" s="1" t="str">
        <f>TEXT(Table1[[#This Row],[Hiring Date]],"yyyy")</f>
        <v>2025</v>
      </c>
    </row>
    <row r="617" spans="1:22">
      <c r="A617" t="s">
        <v>234</v>
      </c>
      <c r="B617">
        <v>30</v>
      </c>
      <c r="C617">
        <v>334</v>
      </c>
      <c r="D617" t="s">
        <v>11</v>
      </c>
      <c r="E617" t="s">
        <v>1498</v>
      </c>
      <c r="F617" t="s">
        <v>1499</v>
      </c>
      <c r="G617">
        <v>52</v>
      </c>
      <c r="H617">
        <v>2</v>
      </c>
      <c r="I617">
        <v>2</v>
      </c>
      <c r="J617" t="s">
        <v>1474</v>
      </c>
      <c r="K617" t="s">
        <v>1475</v>
      </c>
      <c r="L617">
        <v>1</v>
      </c>
      <c r="M617" t="s">
        <v>12</v>
      </c>
      <c r="N617">
        <v>5</v>
      </c>
      <c r="O617" t="s">
        <v>13</v>
      </c>
      <c r="P617">
        <v>9</v>
      </c>
      <c r="Q617" s="4">
        <v>45725</v>
      </c>
      <c r="R617" s="4"/>
      <c r="S617" t="str">
        <f>TEXT(Table1[[#This Row],[Hiring Date]],"mmmm")</f>
        <v>March</v>
      </c>
      <c r="T617" s="1">
        <f>COUNTIF(S:S,Table1[[#This Row],[Months List]])</f>
        <v>0</v>
      </c>
      <c r="U617" t="str">
        <f>TEXT(Table1[[#This Row],[Hiring Date]],"dddd")</f>
        <v>Sunday</v>
      </c>
      <c r="V617" s="1" t="str">
        <f>TEXT(Table1[[#This Row],[Hiring Date]],"yyyy")</f>
        <v>2025</v>
      </c>
    </row>
    <row r="618" spans="1:22">
      <c r="A618" t="s">
        <v>235</v>
      </c>
      <c r="B618">
        <v>29</v>
      </c>
      <c r="C618">
        <v>992</v>
      </c>
      <c r="D618" t="s">
        <v>14</v>
      </c>
      <c r="E618" t="s">
        <v>1501</v>
      </c>
      <c r="F618" t="s">
        <v>1496</v>
      </c>
      <c r="G618">
        <v>85</v>
      </c>
      <c r="H618">
        <v>3</v>
      </c>
      <c r="I618">
        <v>1</v>
      </c>
      <c r="J618" t="s">
        <v>1476</v>
      </c>
      <c r="K618" t="s">
        <v>1477</v>
      </c>
      <c r="L618">
        <v>3</v>
      </c>
      <c r="M618" t="s">
        <v>12</v>
      </c>
      <c r="N618">
        <v>0</v>
      </c>
      <c r="O618" t="s">
        <v>13</v>
      </c>
      <c r="P618">
        <v>7</v>
      </c>
      <c r="Q618" s="4">
        <v>45817</v>
      </c>
      <c r="R618" s="4"/>
      <c r="S618" t="str">
        <f>TEXT(Table1[[#This Row],[Hiring Date]],"mmmm")</f>
        <v>June</v>
      </c>
      <c r="T618" s="1">
        <f>COUNTIF(S:S,Table1[[#This Row],[Months List]])</f>
        <v>0</v>
      </c>
      <c r="U618" t="str">
        <f>TEXT(Table1[[#This Row],[Hiring Date]],"dddd")</f>
        <v>Monday</v>
      </c>
      <c r="V618" s="1" t="str">
        <f>TEXT(Table1[[#This Row],[Hiring Date]],"yyyy")</f>
        <v>2025</v>
      </c>
    </row>
    <row r="619" spans="1:22">
      <c r="A619" t="s">
        <v>236</v>
      </c>
      <c r="B619">
        <v>45</v>
      </c>
      <c r="C619">
        <v>1052</v>
      </c>
      <c r="D619" t="s">
        <v>11</v>
      </c>
      <c r="E619" t="s">
        <v>1495</v>
      </c>
      <c r="F619" t="s">
        <v>1499</v>
      </c>
      <c r="G619">
        <v>57</v>
      </c>
      <c r="H619">
        <v>2</v>
      </c>
      <c r="I619">
        <v>3</v>
      </c>
      <c r="J619" t="s">
        <v>1474</v>
      </c>
      <c r="K619" t="s">
        <v>1475</v>
      </c>
      <c r="L619">
        <v>4</v>
      </c>
      <c r="M619" t="s">
        <v>12</v>
      </c>
      <c r="N619">
        <v>6</v>
      </c>
      <c r="O619" t="s">
        <v>13</v>
      </c>
      <c r="P619">
        <v>23</v>
      </c>
      <c r="Q619" s="4">
        <v>45803</v>
      </c>
      <c r="R619" s="4"/>
      <c r="S619" t="str">
        <f>TEXT(Table1[[#This Row],[Hiring Date]],"mmmm")</f>
        <v>May</v>
      </c>
      <c r="T619" s="1">
        <f>COUNTIF(S:S,Table1[[#This Row],[Months List]])</f>
        <v>0</v>
      </c>
      <c r="U619" t="str">
        <f>TEXT(Table1[[#This Row],[Hiring Date]],"dddd")</f>
        <v>Monday</v>
      </c>
      <c r="V619" s="1" t="str">
        <f>TEXT(Table1[[#This Row],[Hiring Date]],"yyyy")</f>
        <v>2025</v>
      </c>
    </row>
    <row r="620" spans="1:22">
      <c r="A620" t="s">
        <v>30</v>
      </c>
      <c r="B620">
        <v>31</v>
      </c>
      <c r="C620">
        <v>670</v>
      </c>
      <c r="D620" t="s">
        <v>14</v>
      </c>
      <c r="E620" t="s">
        <v>1497</v>
      </c>
      <c r="F620" t="s">
        <v>1496</v>
      </c>
      <c r="G620">
        <v>31</v>
      </c>
      <c r="H620">
        <v>3</v>
      </c>
      <c r="I620">
        <v>1</v>
      </c>
      <c r="J620" t="s">
        <v>1476</v>
      </c>
      <c r="K620" t="s">
        <v>1477</v>
      </c>
      <c r="L620">
        <v>3</v>
      </c>
      <c r="M620" t="s">
        <v>16</v>
      </c>
      <c r="N620">
        <v>1</v>
      </c>
      <c r="O620" t="s">
        <v>13</v>
      </c>
      <c r="P620">
        <v>5</v>
      </c>
      <c r="Q620" s="4">
        <v>45768</v>
      </c>
      <c r="R620" s="4"/>
      <c r="S620" t="str">
        <f>TEXT(Table1[[#This Row],[Hiring Date]],"mmmm")</f>
        <v>April</v>
      </c>
      <c r="T620" s="1">
        <f>COUNTIF(S:S,Table1[[#This Row],[Months List]])</f>
        <v>0</v>
      </c>
      <c r="U620" t="str">
        <f>TEXT(Table1[[#This Row],[Hiring Date]],"dddd")</f>
        <v>Monday</v>
      </c>
      <c r="V620" s="1" t="str">
        <f>TEXT(Table1[[#This Row],[Hiring Date]],"yyyy")</f>
        <v>2025</v>
      </c>
    </row>
    <row r="621" spans="1:22">
      <c r="A621" t="s">
        <v>237</v>
      </c>
      <c r="B621">
        <v>54</v>
      </c>
      <c r="C621">
        <v>1147</v>
      </c>
      <c r="D621" t="s">
        <v>11</v>
      </c>
      <c r="E621" t="s">
        <v>1498</v>
      </c>
      <c r="F621" t="s">
        <v>1499</v>
      </c>
      <c r="G621">
        <v>52</v>
      </c>
      <c r="H621">
        <v>3</v>
      </c>
      <c r="I621">
        <v>2</v>
      </c>
      <c r="J621" t="s">
        <v>1474</v>
      </c>
      <c r="K621" t="s">
        <v>1475</v>
      </c>
      <c r="L621">
        <v>1</v>
      </c>
      <c r="M621" t="s">
        <v>15</v>
      </c>
      <c r="N621">
        <v>2</v>
      </c>
      <c r="O621" t="s">
        <v>13</v>
      </c>
      <c r="P621">
        <v>16</v>
      </c>
      <c r="Q621" s="4">
        <v>45917</v>
      </c>
      <c r="R621" s="4"/>
      <c r="S621" t="str">
        <f>TEXT(Table1[[#This Row],[Hiring Date]],"mmmm")</f>
        <v>September</v>
      </c>
      <c r="T621" s="1">
        <f>COUNTIF(S:S,Table1[[#This Row],[Months List]])</f>
        <v>0</v>
      </c>
      <c r="U621" t="str">
        <f>TEXT(Table1[[#This Row],[Hiring Date]],"dddd")</f>
        <v>Wednesday</v>
      </c>
      <c r="V621" s="1" t="str">
        <f>TEXT(Table1[[#This Row],[Hiring Date]],"yyyy")</f>
        <v>2025</v>
      </c>
    </row>
    <row r="622" spans="1:22">
      <c r="A622" t="s">
        <v>238</v>
      </c>
      <c r="B622">
        <v>36</v>
      </c>
      <c r="C622">
        <v>1396</v>
      </c>
      <c r="D622" t="s">
        <v>14</v>
      </c>
      <c r="E622" t="s">
        <v>1497</v>
      </c>
      <c r="F622" t="s">
        <v>1496</v>
      </c>
      <c r="G622">
        <v>62</v>
      </c>
      <c r="H622">
        <v>3</v>
      </c>
      <c r="I622">
        <v>2</v>
      </c>
      <c r="J622" t="s">
        <v>1484</v>
      </c>
      <c r="K622" t="s">
        <v>1485</v>
      </c>
      <c r="L622">
        <v>2</v>
      </c>
      <c r="M622" t="s">
        <v>12</v>
      </c>
      <c r="N622">
        <v>8</v>
      </c>
      <c r="O622" t="s">
        <v>13</v>
      </c>
      <c r="P622">
        <v>16</v>
      </c>
      <c r="Q622" s="4">
        <v>45994</v>
      </c>
      <c r="R622" s="4"/>
      <c r="S622" t="str">
        <f>TEXT(Table1[[#This Row],[Hiring Date]],"mmmm")</f>
        <v>December</v>
      </c>
      <c r="T622" s="1">
        <f>COUNTIF(S:S,Table1[[#This Row],[Months List]])</f>
        <v>0</v>
      </c>
      <c r="U622" t="str">
        <f>TEXT(Table1[[#This Row],[Hiring Date]],"dddd")</f>
        <v>Wednesday</v>
      </c>
      <c r="V622" s="1" t="str">
        <f>TEXT(Table1[[#This Row],[Hiring Date]],"yyyy")</f>
        <v>2025</v>
      </c>
    </row>
    <row r="623" spans="1:22">
      <c r="A623" t="s">
        <v>239</v>
      </c>
      <c r="B623">
        <v>33</v>
      </c>
      <c r="C623">
        <v>147</v>
      </c>
      <c r="D623" t="s">
        <v>14</v>
      </c>
      <c r="E623" t="s">
        <v>1495</v>
      </c>
      <c r="F623" t="s">
        <v>1499</v>
      </c>
      <c r="G623">
        <v>47</v>
      </c>
      <c r="H623">
        <v>2</v>
      </c>
      <c r="I623">
        <v>1</v>
      </c>
      <c r="J623" t="s">
        <v>1476</v>
      </c>
      <c r="K623" t="s">
        <v>1477</v>
      </c>
      <c r="L623">
        <v>2</v>
      </c>
      <c r="M623" t="s">
        <v>15</v>
      </c>
      <c r="N623">
        <v>6</v>
      </c>
      <c r="O623" t="s">
        <v>13</v>
      </c>
      <c r="P623">
        <v>7</v>
      </c>
      <c r="Q623" s="4">
        <v>45825</v>
      </c>
      <c r="R623" s="4"/>
      <c r="S623" t="str">
        <f>TEXT(Table1[[#This Row],[Hiring Date]],"mmmm")</f>
        <v>June</v>
      </c>
      <c r="T623" s="1">
        <f>COUNTIF(S:S,Table1[[#This Row],[Months List]])</f>
        <v>0</v>
      </c>
      <c r="U623" t="str">
        <f>TEXT(Table1[[#This Row],[Hiring Date]],"dddd")</f>
        <v>Tuesday</v>
      </c>
      <c r="V623" s="1" t="str">
        <f>TEXT(Table1[[#This Row],[Hiring Date]],"yyyy")</f>
        <v>2025</v>
      </c>
    </row>
    <row r="624" spans="1:22">
      <c r="A624" t="s">
        <v>240</v>
      </c>
      <c r="B624">
        <v>37</v>
      </c>
      <c r="C624">
        <v>663</v>
      </c>
      <c r="D624" t="s">
        <v>14</v>
      </c>
      <c r="E624" t="s">
        <v>1500</v>
      </c>
      <c r="F624" t="s">
        <v>1496</v>
      </c>
      <c r="G624">
        <v>47</v>
      </c>
      <c r="H624">
        <v>3</v>
      </c>
      <c r="I624">
        <v>3</v>
      </c>
      <c r="J624" t="s">
        <v>1487</v>
      </c>
      <c r="K624" t="s">
        <v>1488</v>
      </c>
      <c r="L624">
        <v>4</v>
      </c>
      <c r="M624" t="s">
        <v>16</v>
      </c>
      <c r="N624">
        <v>1</v>
      </c>
      <c r="O624" t="s">
        <v>10</v>
      </c>
      <c r="P624">
        <v>10</v>
      </c>
      <c r="Q624" s="4">
        <v>45890</v>
      </c>
      <c r="R624" s="4"/>
      <c r="S624" t="str">
        <f>TEXT(Table1[[#This Row],[Hiring Date]],"mmmm")</f>
        <v>August</v>
      </c>
      <c r="T624" s="1">
        <f>COUNTIF(S:S,Table1[[#This Row],[Months List]])</f>
        <v>0</v>
      </c>
      <c r="U624" t="str">
        <f>TEXT(Table1[[#This Row],[Hiring Date]],"dddd")</f>
        <v>Thursday</v>
      </c>
      <c r="V624" s="1" t="str">
        <f>TEXT(Table1[[#This Row],[Hiring Date]],"yyyy")</f>
        <v>2025</v>
      </c>
    </row>
    <row r="625" spans="1:22">
      <c r="A625" t="s">
        <v>241</v>
      </c>
      <c r="B625">
        <v>38</v>
      </c>
      <c r="C625">
        <v>119</v>
      </c>
      <c r="D625" t="s">
        <v>11</v>
      </c>
      <c r="E625" t="s">
        <v>1497</v>
      </c>
      <c r="F625" t="s">
        <v>1496</v>
      </c>
      <c r="G625">
        <v>76</v>
      </c>
      <c r="H625">
        <v>3</v>
      </c>
      <c r="I625">
        <v>3</v>
      </c>
      <c r="J625" t="s">
        <v>1474</v>
      </c>
      <c r="K625" t="s">
        <v>1475</v>
      </c>
      <c r="L625">
        <v>3</v>
      </c>
      <c r="M625" t="s">
        <v>16</v>
      </c>
      <c r="N625">
        <v>0</v>
      </c>
      <c r="O625" t="s">
        <v>13</v>
      </c>
      <c r="P625">
        <v>17</v>
      </c>
      <c r="Q625" s="4">
        <v>45980</v>
      </c>
      <c r="R625" s="4"/>
      <c r="S625" t="str">
        <f>TEXT(Table1[[#This Row],[Hiring Date]],"mmmm")</f>
        <v>November</v>
      </c>
      <c r="T625" s="1">
        <f>COUNTIF(S:S,Table1[[#This Row],[Months List]])</f>
        <v>0</v>
      </c>
      <c r="U625" t="str">
        <f>TEXT(Table1[[#This Row],[Hiring Date]],"dddd")</f>
        <v>Wednesday</v>
      </c>
      <c r="V625" s="1" t="str">
        <f>TEXT(Table1[[#This Row],[Hiring Date]],"yyyy")</f>
        <v>2025</v>
      </c>
    </row>
    <row r="626" spans="1:22">
      <c r="A626" t="s">
        <v>242</v>
      </c>
      <c r="B626">
        <v>31</v>
      </c>
      <c r="C626">
        <v>979</v>
      </c>
      <c r="D626" t="s">
        <v>14</v>
      </c>
      <c r="E626" t="s">
        <v>1495</v>
      </c>
      <c r="F626" t="s">
        <v>1496</v>
      </c>
      <c r="G626">
        <v>90</v>
      </c>
      <c r="H626">
        <v>1</v>
      </c>
      <c r="I626">
        <v>2</v>
      </c>
      <c r="J626" t="s">
        <v>1480</v>
      </c>
      <c r="K626" t="s">
        <v>1481</v>
      </c>
      <c r="L626">
        <v>3</v>
      </c>
      <c r="M626" t="s">
        <v>15</v>
      </c>
      <c r="N626">
        <v>0</v>
      </c>
      <c r="O626" t="s">
        <v>13</v>
      </c>
      <c r="P626">
        <v>6</v>
      </c>
      <c r="Q626" s="4">
        <v>45655</v>
      </c>
      <c r="R626" s="4"/>
      <c r="S626" t="str">
        <f>TEXT(Table1[[#This Row],[Hiring Date]],"mmmm")</f>
        <v>December</v>
      </c>
      <c r="T626" s="1">
        <f>COUNTIF(S:S,Table1[[#This Row],[Months List]])</f>
        <v>0</v>
      </c>
      <c r="U626" t="str">
        <f>TEXT(Table1[[#This Row],[Hiring Date]],"dddd")</f>
        <v>Sunday</v>
      </c>
      <c r="V626" s="1" t="str">
        <f>TEXT(Table1[[#This Row],[Hiring Date]],"yyyy")</f>
        <v>2024</v>
      </c>
    </row>
    <row r="627" spans="1:22">
      <c r="A627" t="s">
        <v>243</v>
      </c>
      <c r="B627">
        <v>59</v>
      </c>
      <c r="C627">
        <v>142</v>
      </c>
      <c r="D627" t="s">
        <v>14</v>
      </c>
      <c r="E627" t="s">
        <v>1497</v>
      </c>
      <c r="F627" t="s">
        <v>1496</v>
      </c>
      <c r="G627">
        <v>70</v>
      </c>
      <c r="H627">
        <v>2</v>
      </c>
      <c r="I627">
        <v>1</v>
      </c>
      <c r="J627" t="s">
        <v>1476</v>
      </c>
      <c r="K627" t="s">
        <v>1477</v>
      </c>
      <c r="L627">
        <v>4</v>
      </c>
      <c r="M627" t="s">
        <v>15</v>
      </c>
      <c r="N627">
        <v>3</v>
      </c>
      <c r="O627" t="s">
        <v>13</v>
      </c>
      <c r="P627">
        <v>7</v>
      </c>
      <c r="Q627" s="4">
        <v>45879</v>
      </c>
      <c r="R627" s="4"/>
      <c r="S627" t="str">
        <f>TEXT(Table1[[#This Row],[Hiring Date]],"mmmm")</f>
        <v>August</v>
      </c>
      <c r="T627" s="1">
        <f>COUNTIF(S:S,Table1[[#This Row],[Months List]])</f>
        <v>0</v>
      </c>
      <c r="U627" t="str">
        <f>TEXT(Table1[[#This Row],[Hiring Date]],"dddd")</f>
        <v>Sunday</v>
      </c>
      <c r="V627" s="1" t="str">
        <f>TEXT(Table1[[#This Row],[Hiring Date]],"yyyy")</f>
        <v>2025</v>
      </c>
    </row>
    <row r="628" spans="1:22">
      <c r="A628" t="s">
        <v>244</v>
      </c>
      <c r="B628">
        <v>37</v>
      </c>
      <c r="C628">
        <v>319</v>
      </c>
      <c r="D628" t="s">
        <v>11</v>
      </c>
      <c r="E628" t="s">
        <v>1498</v>
      </c>
      <c r="F628" t="s">
        <v>1496</v>
      </c>
      <c r="G628">
        <v>41</v>
      </c>
      <c r="H628">
        <v>3</v>
      </c>
      <c r="I628">
        <v>1</v>
      </c>
      <c r="J628" t="s">
        <v>1489</v>
      </c>
      <c r="K628" t="s">
        <v>1490</v>
      </c>
      <c r="L628">
        <v>4</v>
      </c>
      <c r="M628" t="s">
        <v>16</v>
      </c>
      <c r="N628">
        <v>4</v>
      </c>
      <c r="O628" t="s">
        <v>13</v>
      </c>
      <c r="P628">
        <v>13</v>
      </c>
      <c r="Q628" s="4">
        <v>45861</v>
      </c>
      <c r="R628" s="4"/>
      <c r="S628" t="str">
        <f>TEXT(Table1[[#This Row],[Hiring Date]],"mmmm")</f>
        <v>July</v>
      </c>
      <c r="T628" s="1">
        <f>COUNTIF(S:S,Table1[[#This Row],[Months List]])</f>
        <v>0</v>
      </c>
      <c r="U628" t="str">
        <f>TEXT(Table1[[#This Row],[Hiring Date]],"dddd")</f>
        <v>Wednesday</v>
      </c>
      <c r="V628" s="1" t="str">
        <f>TEXT(Table1[[#This Row],[Hiring Date]],"yyyy")</f>
        <v>2025</v>
      </c>
    </row>
    <row r="629" spans="1:22">
      <c r="A629" t="s">
        <v>245</v>
      </c>
      <c r="B629">
        <v>29</v>
      </c>
      <c r="C629">
        <v>1413</v>
      </c>
      <c r="D629" t="s">
        <v>11</v>
      </c>
      <c r="E629" t="s">
        <v>1495</v>
      </c>
      <c r="F629" t="s">
        <v>1499</v>
      </c>
      <c r="G629">
        <v>42</v>
      </c>
      <c r="H629">
        <v>3</v>
      </c>
      <c r="I629">
        <v>3</v>
      </c>
      <c r="J629" t="s">
        <v>1474</v>
      </c>
      <c r="K629" t="s">
        <v>1475</v>
      </c>
      <c r="L629">
        <v>4</v>
      </c>
      <c r="M629" t="s">
        <v>15</v>
      </c>
      <c r="N629">
        <v>1</v>
      </c>
      <c r="O629" t="s">
        <v>13</v>
      </c>
      <c r="P629">
        <v>11</v>
      </c>
      <c r="Q629" s="4">
        <v>45846</v>
      </c>
      <c r="R629" s="4"/>
      <c r="S629" t="str">
        <f>TEXT(Table1[[#This Row],[Hiring Date]],"mmmm")</f>
        <v>July</v>
      </c>
      <c r="T629" s="1">
        <f>COUNTIF(S:S,Table1[[#This Row],[Months List]])</f>
        <v>0</v>
      </c>
      <c r="U629" t="str">
        <f>TEXT(Table1[[#This Row],[Hiring Date]],"dddd")</f>
        <v>Tuesday</v>
      </c>
      <c r="V629" s="1" t="str">
        <f>TEXT(Table1[[#This Row],[Hiring Date]],"yyyy")</f>
        <v>2025</v>
      </c>
    </row>
    <row r="630" spans="1:22">
      <c r="A630" t="s">
        <v>246</v>
      </c>
      <c r="B630">
        <v>35</v>
      </c>
      <c r="C630">
        <v>944</v>
      </c>
      <c r="D630" t="s">
        <v>11</v>
      </c>
      <c r="E630" t="s">
        <v>1498</v>
      </c>
      <c r="F630" t="s">
        <v>1499</v>
      </c>
      <c r="G630">
        <v>92</v>
      </c>
      <c r="H630">
        <v>3</v>
      </c>
      <c r="I630">
        <v>3</v>
      </c>
      <c r="J630" t="s">
        <v>1474</v>
      </c>
      <c r="K630" t="s">
        <v>1475</v>
      </c>
      <c r="L630">
        <v>3</v>
      </c>
      <c r="M630" t="s">
        <v>12</v>
      </c>
      <c r="N630">
        <v>1</v>
      </c>
      <c r="O630" t="s">
        <v>13</v>
      </c>
      <c r="P630">
        <v>10</v>
      </c>
      <c r="Q630" s="4">
        <v>45834</v>
      </c>
      <c r="R630" s="4"/>
      <c r="S630" t="str">
        <f>TEXT(Table1[[#This Row],[Hiring Date]],"mmmm")</f>
        <v>June</v>
      </c>
      <c r="T630" s="1">
        <f>COUNTIF(S:S,Table1[[#This Row],[Months List]])</f>
        <v>0</v>
      </c>
      <c r="U630" t="str">
        <f>TEXT(Table1[[#This Row],[Hiring Date]],"dddd")</f>
        <v>Thursday</v>
      </c>
      <c r="V630" s="1" t="str">
        <f>TEXT(Table1[[#This Row],[Hiring Date]],"yyyy")</f>
        <v>2025</v>
      </c>
    </row>
    <row r="631" spans="1:22">
      <c r="A631" t="s">
        <v>31</v>
      </c>
      <c r="B631">
        <v>34</v>
      </c>
      <c r="C631">
        <v>1346</v>
      </c>
      <c r="D631" t="s">
        <v>14</v>
      </c>
      <c r="E631" t="s">
        <v>1495</v>
      </c>
      <c r="F631" t="s">
        <v>1496</v>
      </c>
      <c r="G631">
        <v>93</v>
      </c>
      <c r="H631">
        <v>3</v>
      </c>
      <c r="I631">
        <v>1</v>
      </c>
      <c r="J631" t="s">
        <v>1484</v>
      </c>
      <c r="K631" t="s">
        <v>1485</v>
      </c>
      <c r="L631">
        <v>4</v>
      </c>
      <c r="M631" t="s">
        <v>16</v>
      </c>
      <c r="N631">
        <v>0</v>
      </c>
      <c r="O631" t="s">
        <v>13</v>
      </c>
      <c r="P631">
        <v>3</v>
      </c>
      <c r="Q631" s="4">
        <v>45842</v>
      </c>
      <c r="R631" s="4"/>
      <c r="S631" t="str">
        <f>TEXT(Table1[[#This Row],[Hiring Date]],"mmmm")</f>
        <v>July</v>
      </c>
      <c r="T631" s="1">
        <f>COUNTIF(S:S,Table1[[#This Row],[Months List]])</f>
        <v>0</v>
      </c>
      <c r="U631" t="str">
        <f>TEXT(Table1[[#This Row],[Hiring Date]],"dddd")</f>
        <v>Friday</v>
      </c>
      <c r="V631" s="1" t="str">
        <f>TEXT(Table1[[#This Row],[Hiring Date]],"yyyy")</f>
        <v>2025</v>
      </c>
    </row>
    <row r="632" spans="1:22">
      <c r="A632" t="s">
        <v>247</v>
      </c>
      <c r="B632">
        <v>29</v>
      </c>
      <c r="C632">
        <v>896</v>
      </c>
      <c r="D632" t="s">
        <v>14</v>
      </c>
      <c r="E632" t="s">
        <v>1495</v>
      </c>
      <c r="F632" t="s">
        <v>1496</v>
      </c>
      <c r="G632">
        <v>86</v>
      </c>
      <c r="H632">
        <v>2</v>
      </c>
      <c r="I632">
        <v>1</v>
      </c>
      <c r="J632" t="s">
        <v>1476</v>
      </c>
      <c r="K632" t="s">
        <v>1477</v>
      </c>
      <c r="L632">
        <v>4</v>
      </c>
      <c r="M632" t="s">
        <v>12</v>
      </c>
      <c r="N632">
        <v>1</v>
      </c>
      <c r="O632" t="s">
        <v>10</v>
      </c>
      <c r="P632">
        <v>4</v>
      </c>
      <c r="Q632" s="4">
        <v>45981</v>
      </c>
      <c r="R632" s="4"/>
      <c r="S632" t="str">
        <f>TEXT(Table1[[#This Row],[Hiring Date]],"mmmm")</f>
        <v>November</v>
      </c>
      <c r="T632" s="1">
        <f>COUNTIF(S:S,Table1[[#This Row],[Months List]])</f>
        <v>0</v>
      </c>
      <c r="U632" t="str">
        <f>TEXT(Table1[[#This Row],[Hiring Date]],"dddd")</f>
        <v>Thursday</v>
      </c>
      <c r="V632" s="1" t="str">
        <f>TEXT(Table1[[#This Row],[Hiring Date]],"yyyy")</f>
        <v>2025</v>
      </c>
    </row>
    <row r="633" spans="1:22">
      <c r="A633" t="s">
        <v>248</v>
      </c>
      <c r="B633">
        <v>52</v>
      </c>
      <c r="C633">
        <v>1323</v>
      </c>
      <c r="D633" t="s">
        <v>14</v>
      </c>
      <c r="E633" t="s">
        <v>1497</v>
      </c>
      <c r="F633" t="s">
        <v>1499</v>
      </c>
      <c r="G633">
        <v>89</v>
      </c>
      <c r="H633">
        <v>2</v>
      </c>
      <c r="I633">
        <v>1</v>
      </c>
      <c r="J633" t="s">
        <v>1484</v>
      </c>
      <c r="K633" t="s">
        <v>1485</v>
      </c>
      <c r="L633">
        <v>4</v>
      </c>
      <c r="M633" t="s">
        <v>12</v>
      </c>
      <c r="N633">
        <v>7</v>
      </c>
      <c r="O633" t="s">
        <v>13</v>
      </c>
      <c r="P633">
        <v>6</v>
      </c>
      <c r="Q633" s="4">
        <v>45773</v>
      </c>
      <c r="R633" s="4"/>
      <c r="S633" t="str">
        <f>TEXT(Table1[[#This Row],[Hiring Date]],"mmmm")</f>
        <v>April</v>
      </c>
      <c r="T633" s="1">
        <f>COUNTIF(S:S,Table1[[#This Row],[Months List]])</f>
        <v>0</v>
      </c>
      <c r="U633" t="str">
        <f>TEXT(Table1[[#This Row],[Hiring Date]],"dddd")</f>
        <v>Saturday</v>
      </c>
      <c r="V633" s="1" t="str">
        <f>TEXT(Table1[[#This Row],[Hiring Date]],"yyyy")</f>
        <v>2025</v>
      </c>
    </row>
    <row r="634" spans="1:22">
      <c r="A634" t="s">
        <v>249</v>
      </c>
      <c r="B634">
        <v>42</v>
      </c>
      <c r="C634">
        <v>532</v>
      </c>
      <c r="D634" t="s">
        <v>14</v>
      </c>
      <c r="E634" t="s">
        <v>1501</v>
      </c>
      <c r="F634" t="s">
        <v>1496</v>
      </c>
      <c r="G634">
        <v>58</v>
      </c>
      <c r="H634">
        <v>3</v>
      </c>
      <c r="I634">
        <v>5</v>
      </c>
      <c r="J634" t="s">
        <v>1482</v>
      </c>
      <c r="K634" t="s">
        <v>1483</v>
      </c>
      <c r="L634">
        <v>4</v>
      </c>
      <c r="M634" t="s">
        <v>15</v>
      </c>
      <c r="N634">
        <v>1</v>
      </c>
      <c r="O634" t="s">
        <v>13</v>
      </c>
      <c r="P634">
        <v>22</v>
      </c>
      <c r="Q634" s="4">
        <v>45890</v>
      </c>
      <c r="R634" s="4"/>
      <c r="S634" t="str">
        <f>TEXT(Table1[[#This Row],[Hiring Date]],"mmmm")</f>
        <v>August</v>
      </c>
      <c r="T634" s="1">
        <f>COUNTIF(S:S,Table1[[#This Row],[Months List]])</f>
        <v>0</v>
      </c>
      <c r="U634" t="str">
        <f>TEXT(Table1[[#This Row],[Hiring Date]],"dddd")</f>
        <v>Thursday</v>
      </c>
      <c r="V634" s="1" t="str">
        <f>TEXT(Table1[[#This Row],[Hiring Date]],"yyyy")</f>
        <v>2025</v>
      </c>
    </row>
    <row r="635" spans="1:22">
      <c r="A635" t="s">
        <v>250</v>
      </c>
      <c r="B635">
        <v>59</v>
      </c>
      <c r="C635">
        <v>818</v>
      </c>
      <c r="D635" t="s">
        <v>17</v>
      </c>
      <c r="E635" t="s">
        <v>1495</v>
      </c>
      <c r="F635" t="s">
        <v>1496</v>
      </c>
      <c r="G635">
        <v>52</v>
      </c>
      <c r="H635">
        <v>3</v>
      </c>
      <c r="I635">
        <v>1</v>
      </c>
      <c r="J635" t="s">
        <v>1486</v>
      </c>
      <c r="K635" t="s">
        <v>17</v>
      </c>
      <c r="L635">
        <v>3</v>
      </c>
      <c r="M635" t="s">
        <v>15</v>
      </c>
      <c r="N635">
        <v>8</v>
      </c>
      <c r="O635" t="s">
        <v>13</v>
      </c>
      <c r="P635">
        <v>7</v>
      </c>
      <c r="Q635" s="4">
        <v>45993</v>
      </c>
      <c r="R635" s="4"/>
      <c r="S635" t="str">
        <f>TEXT(Table1[[#This Row],[Hiring Date]],"mmmm")</f>
        <v>December</v>
      </c>
      <c r="T635" s="1">
        <f>COUNTIF(S:S,Table1[[#This Row],[Months List]])</f>
        <v>0</v>
      </c>
      <c r="U635" t="str">
        <f>TEXT(Table1[[#This Row],[Hiring Date]],"dddd")</f>
        <v>Tuesday</v>
      </c>
      <c r="V635" s="1" t="str">
        <f>TEXT(Table1[[#This Row],[Hiring Date]],"yyyy")</f>
        <v>2025</v>
      </c>
    </row>
    <row r="636" spans="1:22">
      <c r="A636" t="s">
        <v>251</v>
      </c>
      <c r="B636">
        <v>50</v>
      </c>
      <c r="C636">
        <v>854</v>
      </c>
      <c r="D636" t="s">
        <v>11</v>
      </c>
      <c r="E636" t="s">
        <v>1495</v>
      </c>
      <c r="F636" t="s">
        <v>1499</v>
      </c>
      <c r="G636">
        <v>68</v>
      </c>
      <c r="H636">
        <v>3</v>
      </c>
      <c r="I636">
        <v>5</v>
      </c>
      <c r="J636" t="s">
        <v>1482</v>
      </c>
      <c r="K636" t="s">
        <v>1483</v>
      </c>
      <c r="L636">
        <v>4</v>
      </c>
      <c r="M636" t="s">
        <v>16</v>
      </c>
      <c r="N636">
        <v>3</v>
      </c>
      <c r="O636" t="s">
        <v>13</v>
      </c>
      <c r="P636">
        <v>32</v>
      </c>
      <c r="Q636" s="4">
        <v>45956</v>
      </c>
      <c r="R636" s="4"/>
      <c r="S636" t="str">
        <f>TEXT(Table1[[#This Row],[Hiring Date]],"mmmm")</f>
        <v>October</v>
      </c>
      <c r="T636" s="1">
        <f>COUNTIF(S:S,Table1[[#This Row],[Months List]])</f>
        <v>0</v>
      </c>
      <c r="U636" t="str">
        <f>TEXT(Table1[[#This Row],[Hiring Date]],"dddd")</f>
        <v>Sunday</v>
      </c>
      <c r="V636" s="1" t="str">
        <f>TEXT(Table1[[#This Row],[Hiring Date]],"yyyy")</f>
        <v>2025</v>
      </c>
    </row>
    <row r="637" spans="1:22">
      <c r="A637" t="s">
        <v>252</v>
      </c>
      <c r="B637">
        <v>33</v>
      </c>
      <c r="C637">
        <v>813</v>
      </c>
      <c r="D637" t="s">
        <v>14</v>
      </c>
      <c r="E637" t="s">
        <v>1495</v>
      </c>
      <c r="F637" t="s">
        <v>1496</v>
      </c>
      <c r="G637">
        <v>58</v>
      </c>
      <c r="H637">
        <v>3</v>
      </c>
      <c r="I637">
        <v>1</v>
      </c>
      <c r="J637" t="s">
        <v>1484</v>
      </c>
      <c r="K637" t="s">
        <v>1485</v>
      </c>
      <c r="L637">
        <v>4</v>
      </c>
      <c r="M637" t="s">
        <v>15</v>
      </c>
      <c r="N637">
        <v>5</v>
      </c>
      <c r="O637" t="s">
        <v>10</v>
      </c>
      <c r="P637">
        <v>8</v>
      </c>
      <c r="Q637" s="4">
        <v>45835</v>
      </c>
      <c r="R637" s="4"/>
      <c r="S637" t="str">
        <f>TEXT(Table1[[#This Row],[Hiring Date]],"mmmm")</f>
        <v>June</v>
      </c>
      <c r="T637" s="1">
        <f>COUNTIF(S:S,Table1[[#This Row],[Months List]])</f>
        <v>0</v>
      </c>
      <c r="U637" t="str">
        <f>TEXT(Table1[[#This Row],[Hiring Date]],"dddd")</f>
        <v>Friday</v>
      </c>
      <c r="V637" s="1" t="str">
        <f>TEXT(Table1[[#This Row],[Hiring Date]],"yyyy")</f>
        <v>2025</v>
      </c>
    </row>
    <row r="638" spans="1:22">
      <c r="A638" t="s">
        <v>253</v>
      </c>
      <c r="B638">
        <v>43</v>
      </c>
      <c r="C638">
        <v>1034</v>
      </c>
      <c r="D638" t="s">
        <v>11</v>
      </c>
      <c r="E638" t="s">
        <v>1498</v>
      </c>
      <c r="F638" t="s">
        <v>1499</v>
      </c>
      <c r="G638">
        <v>80</v>
      </c>
      <c r="H638">
        <v>3</v>
      </c>
      <c r="I638">
        <v>4</v>
      </c>
      <c r="J638" t="s">
        <v>1482</v>
      </c>
      <c r="K638" t="s">
        <v>1483</v>
      </c>
      <c r="L638">
        <v>4</v>
      </c>
      <c r="M638" t="s">
        <v>15</v>
      </c>
      <c r="N638">
        <v>5</v>
      </c>
      <c r="O638" t="s">
        <v>10</v>
      </c>
      <c r="P638">
        <v>22</v>
      </c>
      <c r="Q638" s="4">
        <v>45823</v>
      </c>
      <c r="R638" s="4"/>
      <c r="S638" t="str">
        <f>TEXT(Table1[[#This Row],[Hiring Date]],"mmmm")</f>
        <v>June</v>
      </c>
      <c r="T638" s="1">
        <f>COUNTIF(S:S,Table1[[#This Row],[Months List]])</f>
        <v>0</v>
      </c>
      <c r="U638" t="str">
        <f>TEXT(Table1[[#This Row],[Hiring Date]],"dddd")</f>
        <v>Sunday</v>
      </c>
      <c r="V638" s="1" t="str">
        <f>TEXT(Table1[[#This Row],[Hiring Date]],"yyyy")</f>
        <v>2025</v>
      </c>
    </row>
    <row r="639" spans="1:22">
      <c r="A639" t="s">
        <v>254</v>
      </c>
      <c r="B639">
        <v>33</v>
      </c>
      <c r="C639">
        <v>465</v>
      </c>
      <c r="D639" t="s">
        <v>14</v>
      </c>
      <c r="E639" t="s">
        <v>1497</v>
      </c>
      <c r="F639" t="s">
        <v>1499</v>
      </c>
      <c r="G639">
        <v>39</v>
      </c>
      <c r="H639">
        <v>3</v>
      </c>
      <c r="I639">
        <v>1</v>
      </c>
      <c r="J639" t="s">
        <v>1484</v>
      </c>
      <c r="K639" t="s">
        <v>1485</v>
      </c>
      <c r="L639">
        <v>1</v>
      </c>
      <c r="M639" t="s">
        <v>15</v>
      </c>
      <c r="N639">
        <v>7</v>
      </c>
      <c r="O639" t="s">
        <v>13</v>
      </c>
      <c r="P639">
        <v>13</v>
      </c>
      <c r="Q639" s="4">
        <v>45926</v>
      </c>
      <c r="R639" s="4"/>
      <c r="S639" t="str">
        <f>TEXT(Table1[[#This Row],[Hiring Date]],"mmmm")</f>
        <v>September</v>
      </c>
      <c r="T639" s="1">
        <f>COUNTIF(S:S,Table1[[#This Row],[Months List]])</f>
        <v>0</v>
      </c>
      <c r="U639" t="str">
        <f>TEXT(Table1[[#This Row],[Hiring Date]],"dddd")</f>
        <v>Friday</v>
      </c>
      <c r="V639" s="1" t="str">
        <f>TEXT(Table1[[#This Row],[Hiring Date]],"yyyy")</f>
        <v>2025</v>
      </c>
    </row>
    <row r="640" spans="1:22">
      <c r="A640" t="s">
        <v>255</v>
      </c>
      <c r="B640">
        <v>52</v>
      </c>
      <c r="C640">
        <v>771</v>
      </c>
      <c r="D640" t="s">
        <v>11</v>
      </c>
      <c r="E640" t="s">
        <v>1497</v>
      </c>
      <c r="F640" t="s">
        <v>1496</v>
      </c>
      <c r="G640">
        <v>79</v>
      </c>
      <c r="H640">
        <v>2</v>
      </c>
      <c r="I640">
        <v>5</v>
      </c>
      <c r="J640" t="s">
        <v>1482</v>
      </c>
      <c r="K640" t="s">
        <v>1483</v>
      </c>
      <c r="L640">
        <v>3</v>
      </c>
      <c r="M640" t="s">
        <v>12</v>
      </c>
      <c r="N640">
        <v>1</v>
      </c>
      <c r="O640" t="s">
        <v>10</v>
      </c>
      <c r="P640">
        <v>33</v>
      </c>
      <c r="Q640" s="4">
        <v>45894</v>
      </c>
      <c r="R640" s="4"/>
      <c r="S640" t="str">
        <f>TEXT(Table1[[#This Row],[Hiring Date]],"mmmm")</f>
        <v>August</v>
      </c>
      <c r="T640" s="1">
        <f>COUNTIF(S:S,Table1[[#This Row],[Months List]])</f>
        <v>0</v>
      </c>
      <c r="U640" t="str">
        <f>TEXT(Table1[[#This Row],[Hiring Date]],"dddd")</f>
        <v>Monday</v>
      </c>
      <c r="V640" s="1" t="str">
        <f>TEXT(Table1[[#This Row],[Hiring Date]],"yyyy")</f>
        <v>2025</v>
      </c>
    </row>
    <row r="641" spans="1:22">
      <c r="A641" t="s">
        <v>256</v>
      </c>
      <c r="B641">
        <v>32</v>
      </c>
      <c r="C641">
        <v>1401</v>
      </c>
      <c r="D641" t="s">
        <v>11</v>
      </c>
      <c r="E641" t="s">
        <v>1497</v>
      </c>
      <c r="F641" t="s">
        <v>1499</v>
      </c>
      <c r="G641">
        <v>56</v>
      </c>
      <c r="H641">
        <v>3</v>
      </c>
      <c r="I641">
        <v>1</v>
      </c>
      <c r="J641" t="s">
        <v>1489</v>
      </c>
      <c r="K641" t="s">
        <v>1490</v>
      </c>
      <c r="L641">
        <v>2</v>
      </c>
      <c r="M641" t="s">
        <v>15</v>
      </c>
      <c r="N641">
        <v>2</v>
      </c>
      <c r="O641" t="s">
        <v>13</v>
      </c>
      <c r="P641">
        <v>6</v>
      </c>
      <c r="Q641" s="4">
        <v>45707</v>
      </c>
      <c r="R641" s="4"/>
      <c r="S641" t="str">
        <f>TEXT(Table1[[#This Row],[Hiring Date]],"mmmm")</f>
        <v>February</v>
      </c>
      <c r="T641" s="1">
        <f>COUNTIF(S:S,Table1[[#This Row],[Months List]])</f>
        <v>0</v>
      </c>
      <c r="U641" t="str">
        <f>TEXT(Table1[[#This Row],[Hiring Date]],"dddd")</f>
        <v>Wednesday</v>
      </c>
      <c r="V641" s="1" t="str">
        <f>TEXT(Table1[[#This Row],[Hiring Date]],"yyyy")</f>
        <v>2025</v>
      </c>
    </row>
    <row r="642" spans="1:22">
      <c r="A642" t="s">
        <v>32</v>
      </c>
      <c r="B642">
        <v>28</v>
      </c>
      <c r="C642">
        <v>103</v>
      </c>
      <c r="D642" t="s">
        <v>14</v>
      </c>
      <c r="E642" t="s">
        <v>1497</v>
      </c>
      <c r="F642" t="s">
        <v>1496</v>
      </c>
      <c r="G642">
        <v>50</v>
      </c>
      <c r="H642">
        <v>2</v>
      </c>
      <c r="I642">
        <v>1</v>
      </c>
      <c r="J642" t="s">
        <v>1484</v>
      </c>
      <c r="K642" t="s">
        <v>1485</v>
      </c>
      <c r="L642">
        <v>3</v>
      </c>
      <c r="M642" t="s">
        <v>12</v>
      </c>
      <c r="N642">
        <v>5</v>
      </c>
      <c r="O642" t="s">
        <v>10</v>
      </c>
      <c r="P642">
        <v>6</v>
      </c>
      <c r="Q642" s="4">
        <v>45638</v>
      </c>
      <c r="R642" s="4"/>
      <c r="S642" t="str">
        <f>TEXT(Table1[[#This Row],[Hiring Date]],"mmmm")</f>
        <v>December</v>
      </c>
      <c r="T642" s="1">
        <f>COUNTIF(S:S,Table1[[#This Row],[Months List]])</f>
        <v>0</v>
      </c>
      <c r="U642" t="str">
        <f>TEXT(Table1[[#This Row],[Hiring Date]],"dddd")</f>
        <v>Thursday</v>
      </c>
      <c r="V642" s="1" t="str">
        <f>TEXT(Table1[[#This Row],[Hiring Date]],"yyyy")</f>
        <v>2024</v>
      </c>
    </row>
    <row r="643" spans="1:22">
      <c r="A643" t="s">
        <v>257</v>
      </c>
      <c r="B643">
        <v>32</v>
      </c>
      <c r="C643">
        <v>515</v>
      </c>
      <c r="D643" t="s">
        <v>14</v>
      </c>
      <c r="E643" t="s">
        <v>1497</v>
      </c>
      <c r="F643" t="s">
        <v>1496</v>
      </c>
      <c r="G643">
        <v>62</v>
      </c>
      <c r="H643">
        <v>2</v>
      </c>
      <c r="I643">
        <v>1</v>
      </c>
      <c r="J643" t="s">
        <v>1484</v>
      </c>
      <c r="K643" t="s">
        <v>1485</v>
      </c>
      <c r="L643">
        <v>3</v>
      </c>
      <c r="M643" t="s">
        <v>12</v>
      </c>
      <c r="N643">
        <v>0</v>
      </c>
      <c r="O643" t="s">
        <v>10</v>
      </c>
      <c r="P643">
        <v>4</v>
      </c>
      <c r="Q643" s="4">
        <v>45908</v>
      </c>
      <c r="R643" s="4"/>
      <c r="S643" t="str">
        <f>TEXT(Table1[[#This Row],[Hiring Date]],"mmmm")</f>
        <v>September</v>
      </c>
      <c r="T643" s="1">
        <f>COUNTIF(S:S,Table1[[#This Row],[Months List]])</f>
        <v>0</v>
      </c>
      <c r="U643" t="str">
        <f>TEXT(Table1[[#This Row],[Hiring Date]],"dddd")</f>
        <v>Monday</v>
      </c>
      <c r="V643" s="1" t="str">
        <f>TEXT(Table1[[#This Row],[Hiring Date]],"yyyy")</f>
        <v>2025</v>
      </c>
    </row>
    <row r="644" spans="1:22">
      <c r="A644" t="s">
        <v>258</v>
      </c>
      <c r="B644">
        <v>39</v>
      </c>
      <c r="C644">
        <v>1431</v>
      </c>
      <c r="D644" t="s">
        <v>14</v>
      </c>
      <c r="E644" t="s">
        <v>1495</v>
      </c>
      <c r="F644" t="s">
        <v>1499</v>
      </c>
      <c r="G644">
        <v>96</v>
      </c>
      <c r="H644">
        <v>3</v>
      </c>
      <c r="I644">
        <v>1</v>
      </c>
      <c r="J644" t="s">
        <v>1484</v>
      </c>
      <c r="K644" t="s">
        <v>1485</v>
      </c>
      <c r="L644">
        <v>3</v>
      </c>
      <c r="M644" t="s">
        <v>16</v>
      </c>
      <c r="N644">
        <v>7</v>
      </c>
      <c r="O644" t="s">
        <v>13</v>
      </c>
      <c r="P644">
        <v>7</v>
      </c>
      <c r="Q644" s="4">
        <v>45801</v>
      </c>
      <c r="R644" s="4"/>
      <c r="S644" t="str">
        <f>TEXT(Table1[[#This Row],[Hiring Date]],"mmmm")</f>
        <v>May</v>
      </c>
      <c r="T644" s="1">
        <f>COUNTIF(S:S,Table1[[#This Row],[Months List]])</f>
        <v>0</v>
      </c>
      <c r="U644" t="str">
        <f>TEXT(Table1[[#This Row],[Hiring Date]],"dddd")</f>
        <v>Saturday</v>
      </c>
      <c r="V644" s="1" t="str">
        <f>TEXT(Table1[[#This Row],[Hiring Date]],"yyyy")</f>
        <v>2025</v>
      </c>
    </row>
    <row r="645" spans="1:22">
      <c r="A645" t="s">
        <v>259</v>
      </c>
      <c r="B645">
        <v>32</v>
      </c>
      <c r="C645">
        <v>976</v>
      </c>
      <c r="D645" t="s">
        <v>11</v>
      </c>
      <c r="E645" t="s">
        <v>1498</v>
      </c>
      <c r="F645" t="s">
        <v>1496</v>
      </c>
      <c r="G645">
        <v>100</v>
      </c>
      <c r="H645">
        <v>3</v>
      </c>
      <c r="I645">
        <v>2</v>
      </c>
      <c r="J645" t="s">
        <v>1474</v>
      </c>
      <c r="K645" t="s">
        <v>1475</v>
      </c>
      <c r="L645">
        <v>4</v>
      </c>
      <c r="M645" t="s">
        <v>15</v>
      </c>
      <c r="N645">
        <v>0</v>
      </c>
      <c r="O645" t="s">
        <v>13</v>
      </c>
      <c r="P645">
        <v>4</v>
      </c>
      <c r="Q645" s="4">
        <v>45655</v>
      </c>
      <c r="R645" s="4"/>
      <c r="S645" t="str">
        <f>TEXT(Table1[[#This Row],[Hiring Date]],"mmmm")</f>
        <v>December</v>
      </c>
      <c r="T645" s="1">
        <f>COUNTIF(S:S,Table1[[#This Row],[Months List]])</f>
        <v>0</v>
      </c>
      <c r="U645" t="str">
        <f>TEXT(Table1[[#This Row],[Hiring Date]],"dddd")</f>
        <v>Sunday</v>
      </c>
      <c r="V645" s="1" t="str">
        <f>TEXT(Table1[[#This Row],[Hiring Date]],"yyyy")</f>
        <v>2024</v>
      </c>
    </row>
    <row r="646" spans="1:22">
      <c r="A646" t="s">
        <v>260</v>
      </c>
      <c r="B646">
        <v>41</v>
      </c>
      <c r="C646">
        <v>1411</v>
      </c>
      <c r="D646" t="s">
        <v>14</v>
      </c>
      <c r="E646" t="s">
        <v>1497</v>
      </c>
      <c r="F646" t="s">
        <v>1496</v>
      </c>
      <c r="G646">
        <v>36</v>
      </c>
      <c r="H646">
        <v>3</v>
      </c>
      <c r="I646">
        <v>2</v>
      </c>
      <c r="J646" t="s">
        <v>1476</v>
      </c>
      <c r="K646" t="s">
        <v>1477</v>
      </c>
      <c r="L646">
        <v>1</v>
      </c>
      <c r="M646" t="s">
        <v>16</v>
      </c>
      <c r="N646">
        <v>2</v>
      </c>
      <c r="O646" t="s">
        <v>13</v>
      </c>
      <c r="P646">
        <v>17</v>
      </c>
      <c r="Q646" s="4">
        <v>45887</v>
      </c>
      <c r="R646" s="4"/>
      <c r="S646" t="str">
        <f>TEXT(Table1[[#This Row],[Hiring Date]],"mmmm")</f>
        <v>August</v>
      </c>
      <c r="T646" s="1">
        <f>COUNTIF(S:S,Table1[[#This Row],[Months List]])</f>
        <v>0</v>
      </c>
      <c r="U646" t="str">
        <f>TEXT(Table1[[#This Row],[Hiring Date]],"dddd")</f>
        <v>Monday</v>
      </c>
      <c r="V646" s="1" t="str">
        <f>TEXT(Table1[[#This Row],[Hiring Date]],"yyyy")</f>
        <v>2025</v>
      </c>
    </row>
    <row r="647" spans="1:22">
      <c r="A647" t="s">
        <v>261</v>
      </c>
      <c r="B647">
        <v>40</v>
      </c>
      <c r="C647">
        <v>1300</v>
      </c>
      <c r="D647" t="s">
        <v>14</v>
      </c>
      <c r="E647" t="s">
        <v>1501</v>
      </c>
      <c r="F647" t="s">
        <v>1496</v>
      </c>
      <c r="G647">
        <v>62</v>
      </c>
      <c r="H647">
        <v>3</v>
      </c>
      <c r="I647">
        <v>2</v>
      </c>
      <c r="J647" t="s">
        <v>1476</v>
      </c>
      <c r="K647" t="s">
        <v>1477</v>
      </c>
      <c r="L647">
        <v>4</v>
      </c>
      <c r="M647" t="s">
        <v>16</v>
      </c>
      <c r="N647">
        <v>1</v>
      </c>
      <c r="O647" t="s">
        <v>13</v>
      </c>
      <c r="P647">
        <v>9</v>
      </c>
      <c r="Q647" s="4">
        <v>45909</v>
      </c>
      <c r="R647" s="4"/>
      <c r="S647" t="str">
        <f>TEXT(Table1[[#This Row],[Hiring Date]],"mmmm")</f>
        <v>September</v>
      </c>
      <c r="T647" s="1">
        <f>COUNTIF(S:S,Table1[[#This Row],[Months List]])</f>
        <v>0</v>
      </c>
      <c r="U647" t="str">
        <f>TEXT(Table1[[#This Row],[Hiring Date]],"dddd")</f>
        <v>Tuesday</v>
      </c>
      <c r="V647" s="1" t="str">
        <f>TEXT(Table1[[#This Row],[Hiring Date]],"yyyy")</f>
        <v>2025</v>
      </c>
    </row>
    <row r="648" spans="1:22">
      <c r="A648" t="s">
        <v>262</v>
      </c>
      <c r="B648">
        <v>45</v>
      </c>
      <c r="C648">
        <v>252</v>
      </c>
      <c r="D648" t="s">
        <v>14</v>
      </c>
      <c r="E648" t="s">
        <v>1500</v>
      </c>
      <c r="F648" t="s">
        <v>1496</v>
      </c>
      <c r="G648">
        <v>70</v>
      </c>
      <c r="H648">
        <v>4</v>
      </c>
      <c r="I648">
        <v>5</v>
      </c>
      <c r="J648" t="s">
        <v>1482</v>
      </c>
      <c r="K648" t="s">
        <v>1483</v>
      </c>
      <c r="L648">
        <v>4</v>
      </c>
      <c r="M648" t="s">
        <v>15</v>
      </c>
      <c r="N648">
        <v>0</v>
      </c>
      <c r="O648" t="s">
        <v>13</v>
      </c>
      <c r="P648">
        <v>25</v>
      </c>
      <c r="Q648" s="4">
        <v>45762</v>
      </c>
      <c r="R648" s="4"/>
      <c r="S648" t="str">
        <f>TEXT(Table1[[#This Row],[Hiring Date]],"mmmm")</f>
        <v>April</v>
      </c>
      <c r="T648" s="1">
        <f>COUNTIF(S:S,Table1[[#This Row],[Months List]])</f>
        <v>0</v>
      </c>
      <c r="U648" t="str">
        <f>TEXT(Table1[[#This Row],[Hiring Date]],"dddd")</f>
        <v>Tuesday</v>
      </c>
      <c r="V648" s="1" t="str">
        <f>TEXT(Table1[[#This Row],[Hiring Date]],"yyyy")</f>
        <v>2025</v>
      </c>
    </row>
    <row r="649" spans="1:22">
      <c r="A649" t="s">
        <v>263</v>
      </c>
      <c r="B649">
        <v>31</v>
      </c>
      <c r="C649">
        <v>1327</v>
      </c>
      <c r="D649" t="s">
        <v>14</v>
      </c>
      <c r="E649" t="s">
        <v>1495</v>
      </c>
      <c r="F649" t="s">
        <v>1496</v>
      </c>
      <c r="G649">
        <v>73</v>
      </c>
      <c r="H649">
        <v>3</v>
      </c>
      <c r="I649">
        <v>3</v>
      </c>
      <c r="J649" t="s">
        <v>1487</v>
      </c>
      <c r="K649" t="s">
        <v>1488</v>
      </c>
      <c r="L649">
        <v>3</v>
      </c>
      <c r="M649" t="s">
        <v>16</v>
      </c>
      <c r="N649">
        <v>9</v>
      </c>
      <c r="O649" t="s">
        <v>13</v>
      </c>
      <c r="P649">
        <v>9</v>
      </c>
      <c r="Q649" s="4">
        <v>45965</v>
      </c>
      <c r="R649" s="4"/>
      <c r="S649" t="str">
        <f>TEXT(Table1[[#This Row],[Hiring Date]],"mmmm")</f>
        <v>November</v>
      </c>
      <c r="T649" s="1">
        <f>COUNTIF(S:S,Table1[[#This Row],[Months List]])</f>
        <v>0</v>
      </c>
      <c r="U649" t="str">
        <f>TEXT(Table1[[#This Row],[Hiring Date]],"dddd")</f>
        <v>Tuesday</v>
      </c>
      <c r="V649" s="1" t="str">
        <f>TEXT(Table1[[#This Row],[Hiring Date]],"yyyy")</f>
        <v>2025</v>
      </c>
    </row>
    <row r="650" spans="1:22">
      <c r="A650" t="s">
        <v>264</v>
      </c>
      <c r="B650">
        <v>33</v>
      </c>
      <c r="C650">
        <v>832</v>
      </c>
      <c r="D650" t="s">
        <v>14</v>
      </c>
      <c r="E650" t="s">
        <v>1497</v>
      </c>
      <c r="F650" t="s">
        <v>1499</v>
      </c>
      <c r="G650">
        <v>63</v>
      </c>
      <c r="H650">
        <v>2</v>
      </c>
      <c r="I650">
        <v>1</v>
      </c>
      <c r="J650" t="s">
        <v>1476</v>
      </c>
      <c r="K650" t="s">
        <v>1477</v>
      </c>
      <c r="L650">
        <v>4</v>
      </c>
      <c r="M650" t="s">
        <v>15</v>
      </c>
      <c r="N650">
        <v>1</v>
      </c>
      <c r="O650" t="s">
        <v>13</v>
      </c>
      <c r="P650">
        <v>2</v>
      </c>
      <c r="Q650" s="4">
        <v>45644</v>
      </c>
      <c r="R650" s="4"/>
      <c r="S650" t="str">
        <f>TEXT(Table1[[#This Row],[Hiring Date]],"mmmm")</f>
        <v>December</v>
      </c>
      <c r="T650" s="1">
        <f>COUNTIF(S:S,Table1[[#This Row],[Months List]])</f>
        <v>0</v>
      </c>
      <c r="U650" t="str">
        <f>TEXT(Table1[[#This Row],[Hiring Date]],"dddd")</f>
        <v>Wednesday</v>
      </c>
      <c r="V650" s="1" t="str">
        <f>TEXT(Table1[[#This Row],[Hiring Date]],"yyyy")</f>
        <v>2024</v>
      </c>
    </row>
    <row r="651" spans="1:22">
      <c r="A651" t="s">
        <v>265</v>
      </c>
      <c r="B651">
        <v>34</v>
      </c>
      <c r="C651">
        <v>470</v>
      </c>
      <c r="D651" t="s">
        <v>14</v>
      </c>
      <c r="E651" t="s">
        <v>1497</v>
      </c>
      <c r="F651" t="s">
        <v>1496</v>
      </c>
      <c r="G651">
        <v>84</v>
      </c>
      <c r="H651">
        <v>2</v>
      </c>
      <c r="I651">
        <v>2</v>
      </c>
      <c r="J651" t="s">
        <v>1480</v>
      </c>
      <c r="K651" t="s">
        <v>1481</v>
      </c>
      <c r="L651">
        <v>1</v>
      </c>
      <c r="M651" t="s">
        <v>15</v>
      </c>
      <c r="N651">
        <v>6</v>
      </c>
      <c r="O651" t="s">
        <v>13</v>
      </c>
      <c r="P651">
        <v>13</v>
      </c>
      <c r="Q651" s="4">
        <v>45682</v>
      </c>
      <c r="R651" s="4"/>
      <c r="S651" t="str">
        <f>TEXT(Table1[[#This Row],[Hiring Date]],"mmmm")</f>
        <v>January</v>
      </c>
      <c r="T651" s="1">
        <f>COUNTIF(S:S,Table1[[#This Row],[Months List]])</f>
        <v>0</v>
      </c>
      <c r="U651" t="str">
        <f>TEXT(Table1[[#This Row],[Hiring Date]],"dddd")</f>
        <v>Saturday</v>
      </c>
      <c r="V651" s="1" t="str">
        <f>TEXT(Table1[[#This Row],[Hiring Date]],"yyyy")</f>
        <v>2025</v>
      </c>
    </row>
    <row r="652" spans="1:22">
      <c r="A652" t="s">
        <v>266</v>
      </c>
      <c r="B652">
        <v>37</v>
      </c>
      <c r="C652">
        <v>1017</v>
      </c>
      <c r="D652" t="s">
        <v>14</v>
      </c>
      <c r="E652" t="s">
        <v>1495</v>
      </c>
      <c r="F652" t="s">
        <v>1499</v>
      </c>
      <c r="G652">
        <v>83</v>
      </c>
      <c r="H652">
        <v>2</v>
      </c>
      <c r="I652">
        <v>1</v>
      </c>
      <c r="J652" t="s">
        <v>1476</v>
      </c>
      <c r="K652" t="s">
        <v>1477</v>
      </c>
      <c r="L652">
        <v>1</v>
      </c>
      <c r="M652" t="s">
        <v>15</v>
      </c>
      <c r="N652">
        <v>2</v>
      </c>
      <c r="O652" t="s">
        <v>13</v>
      </c>
      <c r="P652">
        <v>17</v>
      </c>
      <c r="Q652" s="4">
        <v>45769</v>
      </c>
      <c r="R652" s="4"/>
      <c r="S652" t="str">
        <f>TEXT(Table1[[#This Row],[Hiring Date]],"mmmm")</f>
        <v>April</v>
      </c>
      <c r="T652" s="1">
        <f>COUNTIF(S:S,Table1[[#This Row],[Months List]])</f>
        <v>0</v>
      </c>
      <c r="U652" t="str">
        <f>TEXT(Table1[[#This Row],[Hiring Date]],"dddd")</f>
        <v>Tuesday</v>
      </c>
      <c r="V652" s="1" t="str">
        <f>TEXT(Table1[[#This Row],[Hiring Date]],"yyyy")</f>
        <v>2025</v>
      </c>
    </row>
    <row r="653" spans="1:22">
      <c r="A653" t="s">
        <v>33</v>
      </c>
      <c r="B653">
        <v>29</v>
      </c>
      <c r="C653">
        <v>1389</v>
      </c>
      <c r="D653" t="s">
        <v>14</v>
      </c>
      <c r="E653" t="s">
        <v>1497</v>
      </c>
      <c r="F653" t="s">
        <v>1499</v>
      </c>
      <c r="G653">
        <v>51</v>
      </c>
      <c r="H653">
        <v>4</v>
      </c>
      <c r="I653">
        <v>3</v>
      </c>
      <c r="J653" t="s">
        <v>1480</v>
      </c>
      <c r="K653" t="s">
        <v>1481</v>
      </c>
      <c r="L653">
        <v>1</v>
      </c>
      <c r="M653" t="s">
        <v>16</v>
      </c>
      <c r="N653">
        <v>1</v>
      </c>
      <c r="O653" t="s">
        <v>13</v>
      </c>
      <c r="P653">
        <v>10</v>
      </c>
      <c r="Q653" s="4">
        <v>45830</v>
      </c>
      <c r="R653" s="4"/>
      <c r="S653" t="str">
        <f>TEXT(Table1[[#This Row],[Hiring Date]],"mmmm")</f>
        <v>June</v>
      </c>
      <c r="T653" s="1">
        <f>COUNTIF(S:S,Table1[[#This Row],[Months List]])</f>
        <v>0</v>
      </c>
      <c r="U653" t="str">
        <f>TEXT(Table1[[#This Row],[Hiring Date]],"dddd")</f>
        <v>Sunday</v>
      </c>
      <c r="V653" s="1" t="str">
        <f>TEXT(Table1[[#This Row],[Hiring Date]],"yyyy")</f>
        <v>2025</v>
      </c>
    </row>
    <row r="654" spans="1:22">
      <c r="A654" t="s">
        <v>267</v>
      </c>
      <c r="B654">
        <v>45</v>
      </c>
      <c r="C654">
        <v>1199</v>
      </c>
      <c r="D654" t="s">
        <v>14</v>
      </c>
      <c r="E654" t="s">
        <v>1497</v>
      </c>
      <c r="F654" t="s">
        <v>1496</v>
      </c>
      <c r="G654">
        <v>77</v>
      </c>
      <c r="H654">
        <v>4</v>
      </c>
      <c r="I654">
        <v>2</v>
      </c>
      <c r="J654" t="s">
        <v>1480</v>
      </c>
      <c r="K654" t="s">
        <v>1481</v>
      </c>
      <c r="L654">
        <v>3</v>
      </c>
      <c r="M654" t="s">
        <v>15</v>
      </c>
      <c r="N654">
        <v>4</v>
      </c>
      <c r="O654" t="s">
        <v>13</v>
      </c>
      <c r="P654">
        <v>9</v>
      </c>
      <c r="Q654" s="4">
        <v>45763</v>
      </c>
      <c r="R654" s="4"/>
      <c r="S654" t="str">
        <f>TEXT(Table1[[#This Row],[Hiring Date]],"mmmm")</f>
        <v>April</v>
      </c>
      <c r="T654" s="1">
        <f>COUNTIF(S:S,Table1[[#This Row],[Months List]])</f>
        <v>0</v>
      </c>
      <c r="U654" t="str">
        <f>TEXT(Table1[[#This Row],[Hiring Date]],"dddd")</f>
        <v>Wednesday</v>
      </c>
      <c r="V654" s="1" t="str">
        <f>TEXT(Table1[[#This Row],[Hiring Date]],"yyyy")</f>
        <v>2025</v>
      </c>
    </row>
    <row r="655" spans="1:22">
      <c r="A655" t="s">
        <v>268</v>
      </c>
      <c r="B655">
        <v>37</v>
      </c>
      <c r="C655">
        <v>504</v>
      </c>
      <c r="D655" t="s">
        <v>14</v>
      </c>
      <c r="E655" t="s">
        <v>1495</v>
      </c>
      <c r="F655" t="s">
        <v>1496</v>
      </c>
      <c r="G655">
        <v>61</v>
      </c>
      <c r="H655">
        <v>3</v>
      </c>
      <c r="I655">
        <v>3</v>
      </c>
      <c r="J655" t="s">
        <v>1480</v>
      </c>
      <c r="K655" t="s">
        <v>1481</v>
      </c>
      <c r="L655">
        <v>3</v>
      </c>
      <c r="M655" t="s">
        <v>16</v>
      </c>
      <c r="N655">
        <v>6</v>
      </c>
      <c r="O655" t="s">
        <v>13</v>
      </c>
      <c r="P655">
        <v>17</v>
      </c>
      <c r="Q655" s="4">
        <v>45887</v>
      </c>
      <c r="R655" s="4"/>
      <c r="S655" t="str">
        <f>TEXT(Table1[[#This Row],[Hiring Date]],"mmmm")</f>
        <v>August</v>
      </c>
      <c r="T655" s="1">
        <f>COUNTIF(S:S,Table1[[#This Row],[Months List]])</f>
        <v>0</v>
      </c>
      <c r="U655" t="str">
        <f>TEXT(Table1[[#This Row],[Hiring Date]],"dddd")</f>
        <v>Monday</v>
      </c>
      <c r="V655" s="1" t="str">
        <f>TEXT(Table1[[#This Row],[Hiring Date]],"yyyy")</f>
        <v>2025</v>
      </c>
    </row>
    <row r="656" spans="1:22">
      <c r="A656" t="s">
        <v>269</v>
      </c>
      <c r="B656">
        <v>39</v>
      </c>
      <c r="C656">
        <v>505</v>
      </c>
      <c r="D656" t="s">
        <v>14</v>
      </c>
      <c r="E656" t="s">
        <v>1501</v>
      </c>
      <c r="F656" t="s">
        <v>1499</v>
      </c>
      <c r="G656">
        <v>64</v>
      </c>
      <c r="H656">
        <v>3</v>
      </c>
      <c r="I656">
        <v>3</v>
      </c>
      <c r="J656" t="s">
        <v>1478</v>
      </c>
      <c r="K656" t="s">
        <v>1479</v>
      </c>
      <c r="L656">
        <v>3</v>
      </c>
      <c r="M656" t="s">
        <v>12</v>
      </c>
      <c r="N656">
        <v>0</v>
      </c>
      <c r="O656" t="s">
        <v>13</v>
      </c>
      <c r="P656">
        <v>20</v>
      </c>
      <c r="Q656" s="4">
        <v>45680</v>
      </c>
      <c r="R656" s="4"/>
      <c r="S656" t="str">
        <f>TEXT(Table1[[#This Row],[Hiring Date]],"mmmm")</f>
        <v>January</v>
      </c>
      <c r="T656" s="1">
        <f>COUNTIF(S:S,Table1[[#This Row],[Months List]])</f>
        <v>0</v>
      </c>
      <c r="U656" t="str">
        <f>TEXT(Table1[[#This Row],[Hiring Date]],"dddd")</f>
        <v>Thursday</v>
      </c>
      <c r="V656" s="1" t="str">
        <f>TEXT(Table1[[#This Row],[Hiring Date]],"yyyy")</f>
        <v>2025</v>
      </c>
    </row>
    <row r="657" spans="1:22">
      <c r="A657" t="s">
        <v>270</v>
      </c>
      <c r="B657">
        <v>29</v>
      </c>
      <c r="C657">
        <v>665</v>
      </c>
      <c r="D657" t="s">
        <v>14</v>
      </c>
      <c r="E657" t="s">
        <v>1497</v>
      </c>
      <c r="F657" t="s">
        <v>1496</v>
      </c>
      <c r="G657">
        <v>60</v>
      </c>
      <c r="H657">
        <v>3</v>
      </c>
      <c r="I657">
        <v>1</v>
      </c>
      <c r="J657" t="s">
        <v>1476</v>
      </c>
      <c r="K657" t="s">
        <v>1477</v>
      </c>
      <c r="L657">
        <v>4</v>
      </c>
      <c r="M657" t="s">
        <v>12</v>
      </c>
      <c r="N657">
        <v>1</v>
      </c>
      <c r="O657" t="s">
        <v>13</v>
      </c>
      <c r="P657">
        <v>6</v>
      </c>
      <c r="Q657" s="4">
        <v>45745</v>
      </c>
      <c r="R657" s="4"/>
      <c r="S657" t="str">
        <f>TEXT(Table1[[#This Row],[Hiring Date]],"mmmm")</f>
        <v>March</v>
      </c>
      <c r="T657" s="1">
        <f>COUNTIF(S:S,Table1[[#This Row],[Months List]])</f>
        <v>0</v>
      </c>
      <c r="U657" t="str">
        <f>TEXT(Table1[[#This Row],[Hiring Date]],"dddd")</f>
        <v>Saturday</v>
      </c>
      <c r="V657" s="1" t="str">
        <f>TEXT(Table1[[#This Row],[Hiring Date]],"yyyy")</f>
        <v>2025</v>
      </c>
    </row>
    <row r="658" spans="1:22">
      <c r="A658" t="s">
        <v>271</v>
      </c>
      <c r="B658">
        <v>42</v>
      </c>
      <c r="C658">
        <v>916</v>
      </c>
      <c r="D658" t="s">
        <v>14</v>
      </c>
      <c r="E658" t="s">
        <v>1497</v>
      </c>
      <c r="F658" t="s">
        <v>1499</v>
      </c>
      <c r="G658">
        <v>82</v>
      </c>
      <c r="H658">
        <v>4</v>
      </c>
      <c r="I658">
        <v>2</v>
      </c>
      <c r="J658" t="s">
        <v>1476</v>
      </c>
      <c r="K658" t="s">
        <v>1477</v>
      </c>
      <c r="L658">
        <v>1</v>
      </c>
      <c r="M658" t="s">
        <v>12</v>
      </c>
      <c r="N658">
        <v>3</v>
      </c>
      <c r="O658" t="s">
        <v>10</v>
      </c>
      <c r="P658">
        <v>10</v>
      </c>
      <c r="Q658" s="4">
        <v>45754</v>
      </c>
      <c r="R658" s="4"/>
      <c r="S658" t="str">
        <f>TEXT(Table1[[#This Row],[Hiring Date]],"mmmm")</f>
        <v>April</v>
      </c>
      <c r="T658" s="1">
        <f>COUNTIF(S:S,Table1[[#This Row],[Months List]])</f>
        <v>0</v>
      </c>
      <c r="U658" t="str">
        <f>TEXT(Table1[[#This Row],[Hiring Date]],"dddd")</f>
        <v>Monday</v>
      </c>
      <c r="V658" s="1" t="str">
        <f>TEXT(Table1[[#This Row],[Hiring Date]],"yyyy")</f>
        <v>2025</v>
      </c>
    </row>
    <row r="659" spans="1:22">
      <c r="A659" t="s">
        <v>272</v>
      </c>
      <c r="B659">
        <v>29</v>
      </c>
      <c r="C659">
        <v>1247</v>
      </c>
      <c r="D659" t="s">
        <v>11</v>
      </c>
      <c r="E659" t="s">
        <v>1498</v>
      </c>
      <c r="F659" t="s">
        <v>1496</v>
      </c>
      <c r="G659">
        <v>45</v>
      </c>
      <c r="H659">
        <v>3</v>
      </c>
      <c r="I659">
        <v>2</v>
      </c>
      <c r="J659" t="s">
        <v>1474</v>
      </c>
      <c r="K659" t="s">
        <v>1475</v>
      </c>
      <c r="L659">
        <v>4</v>
      </c>
      <c r="M659" t="s">
        <v>16</v>
      </c>
      <c r="N659">
        <v>2</v>
      </c>
      <c r="O659" t="s">
        <v>13</v>
      </c>
      <c r="P659">
        <v>10</v>
      </c>
      <c r="Q659" s="4">
        <v>45711</v>
      </c>
      <c r="R659" s="4"/>
      <c r="S659" t="str">
        <f>TEXT(Table1[[#This Row],[Hiring Date]],"mmmm")</f>
        <v>February</v>
      </c>
      <c r="T659" s="1">
        <f>COUNTIF(S:S,Table1[[#This Row],[Months List]])</f>
        <v>0</v>
      </c>
      <c r="U659" t="str">
        <f>TEXT(Table1[[#This Row],[Hiring Date]],"dddd")</f>
        <v>Sunday</v>
      </c>
      <c r="V659" s="1" t="str">
        <f>TEXT(Table1[[#This Row],[Hiring Date]],"yyyy")</f>
        <v>2025</v>
      </c>
    </row>
    <row r="660" spans="1:22">
      <c r="A660" t="s">
        <v>273</v>
      </c>
      <c r="B660">
        <v>25</v>
      </c>
      <c r="C660">
        <v>685</v>
      </c>
      <c r="D660" t="s">
        <v>14</v>
      </c>
      <c r="E660" t="s">
        <v>1497</v>
      </c>
      <c r="F660" t="s">
        <v>1499</v>
      </c>
      <c r="G660">
        <v>62</v>
      </c>
      <c r="H660">
        <v>3</v>
      </c>
      <c r="I660">
        <v>2</v>
      </c>
      <c r="J660" t="s">
        <v>1480</v>
      </c>
      <c r="K660" t="s">
        <v>1481</v>
      </c>
      <c r="L660">
        <v>3</v>
      </c>
      <c r="M660" t="s">
        <v>15</v>
      </c>
      <c r="N660">
        <v>0</v>
      </c>
      <c r="O660" t="s">
        <v>13</v>
      </c>
      <c r="P660">
        <v>5</v>
      </c>
      <c r="Q660" s="4">
        <v>45961</v>
      </c>
      <c r="R660" s="4"/>
      <c r="S660" t="str">
        <f>TEXT(Table1[[#This Row],[Hiring Date]],"mmmm")</f>
        <v>October</v>
      </c>
      <c r="T660" s="1">
        <f>COUNTIF(S:S,Table1[[#This Row],[Months List]])</f>
        <v>0</v>
      </c>
      <c r="U660" t="str">
        <f>TEXT(Table1[[#This Row],[Hiring Date]],"dddd")</f>
        <v>Friday</v>
      </c>
      <c r="V660" s="1" t="str">
        <f>TEXT(Table1[[#This Row],[Hiring Date]],"yyyy")</f>
        <v>2025</v>
      </c>
    </row>
    <row r="661" spans="1:22">
      <c r="A661" t="s">
        <v>274</v>
      </c>
      <c r="B661">
        <v>42</v>
      </c>
      <c r="C661">
        <v>269</v>
      </c>
      <c r="D661" t="s">
        <v>14</v>
      </c>
      <c r="E661" t="s">
        <v>1495</v>
      </c>
      <c r="F661" t="s">
        <v>1499</v>
      </c>
      <c r="G661">
        <v>56</v>
      </c>
      <c r="H661">
        <v>2</v>
      </c>
      <c r="I661">
        <v>1</v>
      </c>
      <c r="J661" t="s">
        <v>1484</v>
      </c>
      <c r="K661" t="s">
        <v>1485</v>
      </c>
      <c r="L661">
        <v>1</v>
      </c>
      <c r="M661" t="s">
        <v>16</v>
      </c>
      <c r="N661">
        <v>0</v>
      </c>
      <c r="O661" t="s">
        <v>10</v>
      </c>
      <c r="P661">
        <v>10</v>
      </c>
      <c r="Q661" s="4">
        <v>45702</v>
      </c>
      <c r="R661" s="4"/>
      <c r="S661" t="str">
        <f>TEXT(Table1[[#This Row],[Hiring Date]],"mmmm")</f>
        <v>February</v>
      </c>
      <c r="T661" s="1">
        <f>COUNTIF(S:S,Table1[[#This Row],[Months List]])</f>
        <v>0</v>
      </c>
      <c r="U661" t="str">
        <f>TEXT(Table1[[#This Row],[Hiring Date]],"dddd")</f>
        <v>Friday</v>
      </c>
      <c r="V661" s="1" t="str">
        <f>TEXT(Table1[[#This Row],[Hiring Date]],"yyyy")</f>
        <v>2025</v>
      </c>
    </row>
    <row r="662" spans="1:22">
      <c r="A662" t="s">
        <v>275</v>
      </c>
      <c r="B662">
        <v>40</v>
      </c>
      <c r="C662">
        <v>1416</v>
      </c>
      <c r="D662" t="s">
        <v>14</v>
      </c>
      <c r="E662" t="s">
        <v>1495</v>
      </c>
      <c r="F662" t="s">
        <v>1496</v>
      </c>
      <c r="G662">
        <v>49</v>
      </c>
      <c r="H662">
        <v>3</v>
      </c>
      <c r="I662">
        <v>5</v>
      </c>
      <c r="J662" t="s">
        <v>1487</v>
      </c>
      <c r="K662" t="s">
        <v>1488</v>
      </c>
      <c r="L662">
        <v>3</v>
      </c>
      <c r="M662" t="s">
        <v>16</v>
      </c>
      <c r="N662">
        <v>0</v>
      </c>
      <c r="O662" t="s">
        <v>13</v>
      </c>
      <c r="P662">
        <v>22</v>
      </c>
      <c r="Q662" s="4">
        <v>45824</v>
      </c>
      <c r="R662" s="4"/>
      <c r="S662" t="str">
        <f>TEXT(Table1[[#This Row],[Hiring Date]],"mmmm")</f>
        <v>June</v>
      </c>
      <c r="T662" s="1">
        <f>COUNTIF(S:S,Table1[[#This Row],[Months List]])</f>
        <v>0</v>
      </c>
      <c r="U662" t="str">
        <f>TEXT(Table1[[#This Row],[Hiring Date]],"dddd")</f>
        <v>Monday</v>
      </c>
      <c r="V662" s="1" t="str">
        <f>TEXT(Table1[[#This Row],[Hiring Date]],"yyyy")</f>
        <v>2025</v>
      </c>
    </row>
    <row r="663" spans="1:22">
      <c r="A663" t="s">
        <v>276</v>
      </c>
      <c r="B663">
        <v>51</v>
      </c>
      <c r="C663">
        <v>833</v>
      </c>
      <c r="D663" t="s">
        <v>14</v>
      </c>
      <c r="E663" t="s">
        <v>1497</v>
      </c>
      <c r="F663" t="s">
        <v>1496</v>
      </c>
      <c r="G663">
        <v>96</v>
      </c>
      <c r="H663">
        <v>3</v>
      </c>
      <c r="I663">
        <v>1</v>
      </c>
      <c r="J663" t="s">
        <v>1476</v>
      </c>
      <c r="K663" t="s">
        <v>1477</v>
      </c>
      <c r="L663">
        <v>4</v>
      </c>
      <c r="M663" t="s">
        <v>15</v>
      </c>
      <c r="N663">
        <v>1</v>
      </c>
      <c r="O663" t="s">
        <v>13</v>
      </c>
      <c r="P663">
        <v>1</v>
      </c>
      <c r="Q663" s="4">
        <v>45985</v>
      </c>
      <c r="R663" s="4"/>
      <c r="S663" t="str">
        <f>TEXT(Table1[[#This Row],[Hiring Date]],"mmmm")</f>
        <v>November</v>
      </c>
      <c r="T663" s="1">
        <f>COUNTIF(S:S,Table1[[#This Row],[Months List]])</f>
        <v>0</v>
      </c>
      <c r="U663" t="str">
        <f>TEXT(Table1[[#This Row],[Hiring Date]],"dddd")</f>
        <v>Monday</v>
      </c>
      <c r="V663" s="1" t="str">
        <f>TEXT(Table1[[#This Row],[Hiring Date]],"yyyy")</f>
        <v>2025</v>
      </c>
    </row>
    <row r="664" spans="1:22">
      <c r="A664" t="s">
        <v>34</v>
      </c>
      <c r="B664">
        <v>32</v>
      </c>
      <c r="C664">
        <v>334</v>
      </c>
      <c r="D664" t="s">
        <v>14</v>
      </c>
      <c r="E664" t="s">
        <v>1497</v>
      </c>
      <c r="F664" t="s">
        <v>1496</v>
      </c>
      <c r="G664">
        <v>80</v>
      </c>
      <c r="H664">
        <v>4</v>
      </c>
      <c r="I664">
        <v>1</v>
      </c>
      <c r="J664" t="s">
        <v>1476</v>
      </c>
      <c r="K664" t="s">
        <v>1477</v>
      </c>
      <c r="L664">
        <v>2</v>
      </c>
      <c r="M664" t="s">
        <v>16</v>
      </c>
      <c r="N664">
        <v>0</v>
      </c>
      <c r="O664" t="s">
        <v>10</v>
      </c>
      <c r="P664">
        <v>7</v>
      </c>
      <c r="Q664" s="4">
        <v>45849</v>
      </c>
      <c r="R664" s="4"/>
      <c r="S664" t="str">
        <f>TEXT(Table1[[#This Row],[Hiring Date]],"mmmm")</f>
        <v>July</v>
      </c>
      <c r="T664" s="1">
        <f>COUNTIF(S:S,Table1[[#This Row],[Months List]])</f>
        <v>0</v>
      </c>
      <c r="U664" t="str">
        <f>TEXT(Table1[[#This Row],[Hiring Date]],"dddd")</f>
        <v>Friday</v>
      </c>
      <c r="V664" s="1" t="str">
        <f>TEXT(Table1[[#This Row],[Hiring Date]],"yyyy")</f>
        <v>2025</v>
      </c>
    </row>
    <row r="665" spans="1:22">
      <c r="A665" t="s">
        <v>277</v>
      </c>
      <c r="B665">
        <v>31</v>
      </c>
      <c r="C665">
        <v>307</v>
      </c>
      <c r="D665" t="s">
        <v>14</v>
      </c>
      <c r="E665" t="s">
        <v>1495</v>
      </c>
      <c r="F665" t="s">
        <v>1496</v>
      </c>
      <c r="G665">
        <v>71</v>
      </c>
      <c r="H665">
        <v>2</v>
      </c>
      <c r="I665">
        <v>1</v>
      </c>
      <c r="J665" t="s">
        <v>1484</v>
      </c>
      <c r="K665" t="s">
        <v>1485</v>
      </c>
      <c r="L665">
        <v>2</v>
      </c>
      <c r="M665" t="s">
        <v>12</v>
      </c>
      <c r="N665">
        <v>0</v>
      </c>
      <c r="O665" t="s">
        <v>13</v>
      </c>
      <c r="P665">
        <v>6</v>
      </c>
      <c r="Q665" s="4">
        <v>45681</v>
      </c>
      <c r="R665" s="4"/>
      <c r="S665" t="str">
        <f>TEXT(Table1[[#This Row],[Hiring Date]],"mmmm")</f>
        <v>January</v>
      </c>
      <c r="T665" s="1">
        <f>COUNTIF(S:S,Table1[[#This Row],[Months List]])</f>
        <v>0</v>
      </c>
      <c r="U665" t="str">
        <f>TEXT(Table1[[#This Row],[Hiring Date]],"dddd")</f>
        <v>Friday</v>
      </c>
      <c r="V665" s="1" t="str">
        <f>TEXT(Table1[[#This Row],[Hiring Date]],"yyyy")</f>
        <v>2025</v>
      </c>
    </row>
    <row r="666" spans="1:22">
      <c r="A666" t="s">
        <v>278</v>
      </c>
      <c r="B666">
        <v>32</v>
      </c>
      <c r="C666">
        <v>1311</v>
      </c>
      <c r="D666" t="s">
        <v>14</v>
      </c>
      <c r="E666" t="s">
        <v>1497</v>
      </c>
      <c r="F666" t="s">
        <v>1496</v>
      </c>
      <c r="G666">
        <v>100</v>
      </c>
      <c r="H666">
        <v>4</v>
      </c>
      <c r="I666">
        <v>1</v>
      </c>
      <c r="J666" t="s">
        <v>1484</v>
      </c>
      <c r="K666" t="s">
        <v>1485</v>
      </c>
      <c r="L666">
        <v>2</v>
      </c>
      <c r="M666" t="s">
        <v>15</v>
      </c>
      <c r="N666">
        <v>1</v>
      </c>
      <c r="O666" t="s">
        <v>13</v>
      </c>
      <c r="P666">
        <v>5</v>
      </c>
      <c r="Q666" s="4">
        <v>45856</v>
      </c>
      <c r="R666" s="4"/>
      <c r="S666" t="str">
        <f>TEXT(Table1[[#This Row],[Hiring Date]],"mmmm")</f>
        <v>July</v>
      </c>
      <c r="T666" s="1">
        <f>COUNTIF(S:S,Table1[[#This Row],[Months List]])</f>
        <v>0</v>
      </c>
      <c r="U666" t="str">
        <f>TEXT(Table1[[#This Row],[Hiring Date]],"dddd")</f>
        <v>Friday</v>
      </c>
      <c r="V666" s="1" t="str">
        <f>TEXT(Table1[[#This Row],[Hiring Date]],"yyyy")</f>
        <v>2025</v>
      </c>
    </row>
    <row r="667" spans="1:22">
      <c r="A667" t="s">
        <v>279</v>
      </c>
      <c r="B667">
        <v>38</v>
      </c>
      <c r="C667">
        <v>1327</v>
      </c>
      <c r="D667" t="s">
        <v>11</v>
      </c>
      <c r="E667" t="s">
        <v>1497</v>
      </c>
      <c r="F667" t="s">
        <v>1496</v>
      </c>
      <c r="G667">
        <v>39</v>
      </c>
      <c r="H667">
        <v>2</v>
      </c>
      <c r="I667">
        <v>2</v>
      </c>
      <c r="J667" t="s">
        <v>1474</v>
      </c>
      <c r="K667" t="s">
        <v>1475</v>
      </c>
      <c r="L667">
        <v>4</v>
      </c>
      <c r="M667" t="s">
        <v>15</v>
      </c>
      <c r="N667">
        <v>3</v>
      </c>
      <c r="O667" t="s">
        <v>13</v>
      </c>
      <c r="P667">
        <v>13</v>
      </c>
      <c r="Q667" s="4">
        <v>45851</v>
      </c>
      <c r="R667" s="4"/>
      <c r="S667" t="str">
        <f>TEXT(Table1[[#This Row],[Hiring Date]],"mmmm")</f>
        <v>July</v>
      </c>
      <c r="T667" s="1">
        <f>COUNTIF(S:S,Table1[[#This Row],[Months List]])</f>
        <v>0</v>
      </c>
      <c r="U667" t="str">
        <f>TEXT(Table1[[#This Row],[Hiring Date]],"dddd")</f>
        <v>Sunday</v>
      </c>
      <c r="V667" s="1" t="str">
        <f>TEXT(Table1[[#This Row],[Hiring Date]],"yyyy")</f>
        <v>2025</v>
      </c>
    </row>
    <row r="668" spans="1:22">
      <c r="A668" t="s">
        <v>280</v>
      </c>
      <c r="B668">
        <v>32</v>
      </c>
      <c r="C668">
        <v>128</v>
      </c>
      <c r="D668" t="s">
        <v>14</v>
      </c>
      <c r="E668" t="s">
        <v>1501</v>
      </c>
      <c r="F668" t="s">
        <v>1496</v>
      </c>
      <c r="G668">
        <v>84</v>
      </c>
      <c r="H668">
        <v>2</v>
      </c>
      <c r="I668">
        <v>2</v>
      </c>
      <c r="J668" t="s">
        <v>1484</v>
      </c>
      <c r="K668" t="s">
        <v>1485</v>
      </c>
      <c r="L668">
        <v>1</v>
      </c>
      <c r="M668" t="s">
        <v>12</v>
      </c>
      <c r="N668">
        <v>4</v>
      </c>
      <c r="O668" t="s">
        <v>13</v>
      </c>
      <c r="P668">
        <v>9</v>
      </c>
      <c r="Q668" s="4">
        <v>45895</v>
      </c>
      <c r="R668" s="4"/>
      <c r="S668" t="str">
        <f>TEXT(Table1[[#This Row],[Hiring Date]],"mmmm")</f>
        <v>August</v>
      </c>
      <c r="T668" s="1">
        <f>COUNTIF(S:S,Table1[[#This Row],[Months List]])</f>
        <v>0</v>
      </c>
      <c r="U668" t="str">
        <f>TEXT(Table1[[#This Row],[Hiring Date]],"dddd")</f>
        <v>Tuesday</v>
      </c>
      <c r="V668" s="1" t="str">
        <f>TEXT(Table1[[#This Row],[Hiring Date]],"yyyy")</f>
        <v>2025</v>
      </c>
    </row>
    <row r="669" spans="1:22">
      <c r="A669" t="s">
        <v>281</v>
      </c>
      <c r="B669">
        <v>46</v>
      </c>
      <c r="C669">
        <v>488</v>
      </c>
      <c r="D669" t="s">
        <v>11</v>
      </c>
      <c r="E669" t="s">
        <v>1501</v>
      </c>
      <c r="F669" t="s">
        <v>1499</v>
      </c>
      <c r="G669">
        <v>75</v>
      </c>
      <c r="H669">
        <v>1</v>
      </c>
      <c r="I669">
        <v>4</v>
      </c>
      <c r="J669" t="s">
        <v>1482</v>
      </c>
      <c r="K669" t="s">
        <v>1483</v>
      </c>
      <c r="L669">
        <v>2</v>
      </c>
      <c r="M669" t="s">
        <v>15</v>
      </c>
      <c r="N669">
        <v>3</v>
      </c>
      <c r="O669" t="s">
        <v>10</v>
      </c>
      <c r="P669">
        <v>28</v>
      </c>
      <c r="Q669" s="4">
        <v>45709</v>
      </c>
      <c r="R669" s="4"/>
      <c r="S669" t="str">
        <f>TEXT(Table1[[#This Row],[Hiring Date]],"mmmm")</f>
        <v>February</v>
      </c>
      <c r="T669" s="1">
        <f>COUNTIF(S:S,Table1[[#This Row],[Months List]])</f>
        <v>0</v>
      </c>
      <c r="U669" t="str">
        <f>TEXT(Table1[[#This Row],[Hiring Date]],"dddd")</f>
        <v>Friday</v>
      </c>
      <c r="V669" s="1" t="str">
        <f>TEXT(Table1[[#This Row],[Hiring Date]],"yyyy")</f>
        <v>2025</v>
      </c>
    </row>
    <row r="670" spans="1:22">
      <c r="A670" t="s">
        <v>282</v>
      </c>
      <c r="B670">
        <v>28</v>
      </c>
      <c r="C670">
        <v>529</v>
      </c>
      <c r="D670" t="s">
        <v>14</v>
      </c>
      <c r="E670" t="s">
        <v>1497</v>
      </c>
      <c r="F670" t="s">
        <v>1496</v>
      </c>
      <c r="G670">
        <v>79</v>
      </c>
      <c r="H670">
        <v>3</v>
      </c>
      <c r="I670">
        <v>1</v>
      </c>
      <c r="J670" t="s">
        <v>1484</v>
      </c>
      <c r="K670" t="s">
        <v>1485</v>
      </c>
      <c r="L670">
        <v>3</v>
      </c>
      <c r="M670" t="s">
        <v>12</v>
      </c>
      <c r="N670">
        <v>2</v>
      </c>
      <c r="O670" t="s">
        <v>13</v>
      </c>
      <c r="P670">
        <v>5</v>
      </c>
      <c r="Q670" s="4">
        <v>45998</v>
      </c>
      <c r="R670" s="4"/>
      <c r="S670" t="str">
        <f>TEXT(Table1[[#This Row],[Hiring Date]],"mmmm")</f>
        <v>December</v>
      </c>
      <c r="T670" s="1">
        <f>COUNTIF(S:S,Table1[[#This Row],[Months List]])</f>
        <v>0</v>
      </c>
      <c r="U670" t="str">
        <f>TEXT(Table1[[#This Row],[Hiring Date]],"dddd")</f>
        <v>Sunday</v>
      </c>
      <c r="V670" s="1" t="str">
        <f>TEXT(Table1[[#This Row],[Hiring Date]],"yyyy")</f>
        <v>2025</v>
      </c>
    </row>
    <row r="671" spans="1:22">
      <c r="A671" t="s">
        <v>283</v>
      </c>
      <c r="B671">
        <v>29</v>
      </c>
      <c r="C671">
        <v>1210</v>
      </c>
      <c r="D671" t="s">
        <v>11</v>
      </c>
      <c r="E671" t="s">
        <v>1495</v>
      </c>
      <c r="F671" t="s">
        <v>1496</v>
      </c>
      <c r="G671">
        <v>78</v>
      </c>
      <c r="H671">
        <v>2</v>
      </c>
      <c r="I671">
        <v>2</v>
      </c>
      <c r="J671" t="s">
        <v>1474</v>
      </c>
      <c r="K671" t="s">
        <v>1475</v>
      </c>
      <c r="L671">
        <v>2</v>
      </c>
      <c r="M671" t="s">
        <v>15</v>
      </c>
      <c r="N671">
        <v>2</v>
      </c>
      <c r="O671" t="s">
        <v>13</v>
      </c>
      <c r="P671">
        <v>10</v>
      </c>
      <c r="Q671" s="4">
        <v>45673</v>
      </c>
      <c r="R671" s="4"/>
      <c r="S671" t="str">
        <f>TEXT(Table1[[#This Row],[Hiring Date]],"mmmm")</f>
        <v>January</v>
      </c>
      <c r="T671" s="1">
        <f>COUNTIF(S:S,Table1[[#This Row],[Months List]])</f>
        <v>0</v>
      </c>
      <c r="U671" t="str">
        <f>TEXT(Table1[[#This Row],[Hiring Date]],"dddd")</f>
        <v>Thursday</v>
      </c>
      <c r="V671" s="1" t="str">
        <f>TEXT(Table1[[#This Row],[Hiring Date]],"yyyy")</f>
        <v>2025</v>
      </c>
    </row>
    <row r="672" spans="1:22">
      <c r="A672" t="s">
        <v>284</v>
      </c>
      <c r="B672">
        <v>31</v>
      </c>
      <c r="C672">
        <v>1463</v>
      </c>
      <c r="D672" t="s">
        <v>14</v>
      </c>
      <c r="E672" t="s">
        <v>1495</v>
      </c>
      <c r="F672" t="s">
        <v>1496</v>
      </c>
      <c r="G672">
        <v>64</v>
      </c>
      <c r="H672">
        <v>2</v>
      </c>
      <c r="I672">
        <v>2</v>
      </c>
      <c r="J672" t="s">
        <v>1478</v>
      </c>
      <c r="K672" t="s">
        <v>1479</v>
      </c>
      <c r="L672">
        <v>4</v>
      </c>
      <c r="M672" t="s">
        <v>15</v>
      </c>
      <c r="N672">
        <v>0</v>
      </c>
      <c r="O672" t="s">
        <v>13</v>
      </c>
      <c r="P672">
        <v>10</v>
      </c>
      <c r="Q672" s="4">
        <v>45710</v>
      </c>
      <c r="R672" s="4"/>
      <c r="S672" t="str">
        <f>TEXT(Table1[[#This Row],[Hiring Date]],"mmmm")</f>
        <v>February</v>
      </c>
      <c r="T672" s="1">
        <f>COUNTIF(S:S,Table1[[#This Row],[Months List]])</f>
        <v>0</v>
      </c>
      <c r="U672" t="str">
        <f>TEXT(Table1[[#This Row],[Hiring Date]],"dddd")</f>
        <v>Saturday</v>
      </c>
      <c r="V672" s="1" t="str">
        <f>TEXT(Table1[[#This Row],[Hiring Date]],"yyyy")</f>
        <v>2025</v>
      </c>
    </row>
    <row r="673" spans="1:22">
      <c r="A673" t="s">
        <v>285</v>
      </c>
      <c r="B673">
        <v>25</v>
      </c>
      <c r="C673">
        <v>675</v>
      </c>
      <c r="D673" t="s">
        <v>14</v>
      </c>
      <c r="E673" t="s">
        <v>1497</v>
      </c>
      <c r="F673" t="s">
        <v>1496</v>
      </c>
      <c r="G673">
        <v>85</v>
      </c>
      <c r="H673">
        <v>4</v>
      </c>
      <c r="I673">
        <v>2</v>
      </c>
      <c r="J673" t="s">
        <v>1478</v>
      </c>
      <c r="K673" t="s">
        <v>1479</v>
      </c>
      <c r="L673">
        <v>1</v>
      </c>
      <c r="M673" t="s">
        <v>16</v>
      </c>
      <c r="N673">
        <v>1</v>
      </c>
      <c r="O673" t="s">
        <v>13</v>
      </c>
      <c r="P673">
        <v>6</v>
      </c>
      <c r="Q673" s="4">
        <v>45781</v>
      </c>
      <c r="R673" s="4"/>
      <c r="S673" t="str">
        <f>TEXT(Table1[[#This Row],[Hiring Date]],"mmmm")</f>
        <v>May</v>
      </c>
      <c r="T673" s="1">
        <f>COUNTIF(S:S,Table1[[#This Row],[Months List]])</f>
        <v>0</v>
      </c>
      <c r="U673" t="str">
        <f>TEXT(Table1[[#This Row],[Hiring Date]],"dddd")</f>
        <v>Sunday</v>
      </c>
      <c r="V673" s="1" t="str">
        <f>TEXT(Table1[[#This Row],[Hiring Date]],"yyyy")</f>
        <v>2025</v>
      </c>
    </row>
    <row r="674" spans="1:22">
      <c r="A674" t="s">
        <v>286</v>
      </c>
      <c r="B674">
        <v>45</v>
      </c>
      <c r="C674">
        <v>1385</v>
      </c>
      <c r="D674" t="s">
        <v>14</v>
      </c>
      <c r="E674" t="s">
        <v>1495</v>
      </c>
      <c r="F674" t="s">
        <v>1496</v>
      </c>
      <c r="G674">
        <v>79</v>
      </c>
      <c r="H674">
        <v>3</v>
      </c>
      <c r="I674">
        <v>4</v>
      </c>
      <c r="J674" t="s">
        <v>1478</v>
      </c>
      <c r="K674" t="s">
        <v>1479</v>
      </c>
      <c r="L674">
        <v>4</v>
      </c>
      <c r="M674" t="s">
        <v>15</v>
      </c>
      <c r="N674">
        <v>0</v>
      </c>
      <c r="O674" t="s">
        <v>10</v>
      </c>
      <c r="P674">
        <v>21</v>
      </c>
      <c r="Q674" s="4">
        <v>45720</v>
      </c>
      <c r="R674" s="4"/>
      <c r="S674" t="str">
        <f>TEXT(Table1[[#This Row],[Hiring Date]],"mmmm")</f>
        <v>March</v>
      </c>
      <c r="T674" s="1">
        <f>COUNTIF(S:S,Table1[[#This Row],[Months List]])</f>
        <v>0</v>
      </c>
      <c r="U674" t="str">
        <f>TEXT(Table1[[#This Row],[Hiring Date]],"dddd")</f>
        <v>Tuesday</v>
      </c>
      <c r="V674" s="1" t="str">
        <f>TEXT(Table1[[#This Row],[Hiring Date]],"yyyy")</f>
        <v>2025</v>
      </c>
    </row>
    <row r="675" spans="1:22">
      <c r="A675" t="s">
        <v>35</v>
      </c>
      <c r="B675">
        <v>22</v>
      </c>
      <c r="C675">
        <v>1123</v>
      </c>
      <c r="D675" t="s">
        <v>14</v>
      </c>
      <c r="E675" t="s">
        <v>1495</v>
      </c>
      <c r="F675" t="s">
        <v>1496</v>
      </c>
      <c r="G675">
        <v>96</v>
      </c>
      <c r="H675">
        <v>4</v>
      </c>
      <c r="I675">
        <v>1</v>
      </c>
      <c r="J675" t="s">
        <v>1484</v>
      </c>
      <c r="K675" t="s">
        <v>1485</v>
      </c>
      <c r="L675">
        <v>4</v>
      </c>
      <c r="M675" t="s">
        <v>16</v>
      </c>
      <c r="N675">
        <v>1</v>
      </c>
      <c r="O675" t="s">
        <v>10</v>
      </c>
      <c r="P675">
        <v>1</v>
      </c>
      <c r="Q675" s="4">
        <v>45734</v>
      </c>
      <c r="R675" s="4"/>
      <c r="S675" t="str">
        <f>TEXT(Table1[[#This Row],[Hiring Date]],"mmmm")</f>
        <v>March</v>
      </c>
      <c r="T675" s="1">
        <f>COUNTIF(S:S,Table1[[#This Row],[Months List]])</f>
        <v>0</v>
      </c>
      <c r="U675" t="str">
        <f>TEXT(Table1[[#This Row],[Hiring Date]],"dddd")</f>
        <v>Tuesday</v>
      </c>
      <c r="V675" s="1" t="str">
        <f>TEXT(Table1[[#This Row],[Hiring Date]],"yyyy")</f>
        <v>2025</v>
      </c>
    </row>
    <row r="676" spans="1:22">
      <c r="A676" t="s">
        <v>287</v>
      </c>
      <c r="B676">
        <v>36</v>
      </c>
      <c r="C676">
        <v>1403</v>
      </c>
      <c r="D676" t="s">
        <v>14</v>
      </c>
      <c r="E676" t="s">
        <v>1497</v>
      </c>
      <c r="F676" t="s">
        <v>1496</v>
      </c>
      <c r="G676">
        <v>47</v>
      </c>
      <c r="H676">
        <v>3</v>
      </c>
      <c r="I676">
        <v>1</v>
      </c>
      <c r="J676" t="s">
        <v>1484</v>
      </c>
      <c r="K676" t="s">
        <v>1485</v>
      </c>
      <c r="L676">
        <v>4</v>
      </c>
      <c r="M676" t="s">
        <v>15</v>
      </c>
      <c r="N676">
        <v>0</v>
      </c>
      <c r="O676" t="s">
        <v>13</v>
      </c>
      <c r="P676">
        <v>16</v>
      </c>
      <c r="Q676" s="4">
        <v>45897</v>
      </c>
      <c r="R676" s="4"/>
      <c r="S676" t="str">
        <f>TEXT(Table1[[#This Row],[Hiring Date]],"mmmm")</f>
        <v>August</v>
      </c>
      <c r="T676" s="1">
        <f>COUNTIF(S:S,Table1[[#This Row],[Months List]])</f>
        <v>0</v>
      </c>
      <c r="U676" t="str">
        <f>TEXT(Table1[[#This Row],[Hiring Date]],"dddd")</f>
        <v>Thursday</v>
      </c>
      <c r="V676" s="1" t="str">
        <f>TEXT(Table1[[#This Row],[Hiring Date]],"yyyy")</f>
        <v>2025</v>
      </c>
    </row>
    <row r="677" spans="1:22">
      <c r="A677" t="s">
        <v>288</v>
      </c>
      <c r="B677">
        <v>55</v>
      </c>
      <c r="C677">
        <v>452</v>
      </c>
      <c r="D677" t="s">
        <v>14</v>
      </c>
      <c r="E677" t="s">
        <v>1495</v>
      </c>
      <c r="F677" t="s">
        <v>1496</v>
      </c>
      <c r="G677">
        <v>81</v>
      </c>
      <c r="H677">
        <v>3</v>
      </c>
      <c r="I677">
        <v>5</v>
      </c>
      <c r="J677" t="s">
        <v>1482</v>
      </c>
      <c r="K677" t="s">
        <v>1483</v>
      </c>
      <c r="L677">
        <v>1</v>
      </c>
      <c r="M677" t="s">
        <v>12</v>
      </c>
      <c r="N677">
        <v>0</v>
      </c>
      <c r="O677" t="s">
        <v>10</v>
      </c>
      <c r="P677">
        <v>37</v>
      </c>
      <c r="Q677" s="4">
        <v>45961</v>
      </c>
      <c r="R677" s="4"/>
      <c r="S677" t="str">
        <f>TEXT(Table1[[#This Row],[Hiring Date]],"mmmm")</f>
        <v>October</v>
      </c>
      <c r="T677" s="1">
        <f>COUNTIF(S:S,Table1[[#This Row],[Months List]])</f>
        <v>0</v>
      </c>
      <c r="U677" t="str">
        <f>TEXT(Table1[[#This Row],[Hiring Date]],"dddd")</f>
        <v>Friday</v>
      </c>
      <c r="V677" s="1" t="str">
        <f>TEXT(Table1[[#This Row],[Hiring Date]],"yyyy")</f>
        <v>2025</v>
      </c>
    </row>
    <row r="678" spans="1:22">
      <c r="A678" t="s">
        <v>289</v>
      </c>
      <c r="B678">
        <v>47</v>
      </c>
      <c r="C678">
        <v>666</v>
      </c>
      <c r="D678" t="s">
        <v>14</v>
      </c>
      <c r="E678" t="s">
        <v>1497</v>
      </c>
      <c r="F678" t="s">
        <v>1496</v>
      </c>
      <c r="G678">
        <v>88</v>
      </c>
      <c r="H678">
        <v>3</v>
      </c>
      <c r="I678">
        <v>3</v>
      </c>
      <c r="J678" t="s">
        <v>1482</v>
      </c>
      <c r="K678" t="s">
        <v>1483</v>
      </c>
      <c r="L678">
        <v>2</v>
      </c>
      <c r="M678" t="s">
        <v>15</v>
      </c>
      <c r="N678">
        <v>1</v>
      </c>
      <c r="O678" t="s">
        <v>10</v>
      </c>
      <c r="P678">
        <v>10</v>
      </c>
      <c r="Q678" s="4">
        <v>45808</v>
      </c>
      <c r="R678" s="4"/>
      <c r="S678" t="str">
        <f>TEXT(Table1[[#This Row],[Hiring Date]],"mmmm")</f>
        <v>May</v>
      </c>
      <c r="T678" s="1">
        <f>COUNTIF(S:S,Table1[[#This Row],[Months List]])</f>
        <v>0</v>
      </c>
      <c r="U678" t="str">
        <f>TEXT(Table1[[#This Row],[Hiring Date]],"dddd")</f>
        <v>Saturday</v>
      </c>
      <c r="V678" s="1" t="str">
        <f>TEXT(Table1[[#This Row],[Hiring Date]],"yyyy")</f>
        <v>2025</v>
      </c>
    </row>
    <row r="679" spans="1:22">
      <c r="A679" t="s">
        <v>290</v>
      </c>
      <c r="B679">
        <v>28</v>
      </c>
      <c r="C679">
        <v>1158</v>
      </c>
      <c r="D679" t="s">
        <v>14</v>
      </c>
      <c r="E679" t="s">
        <v>1495</v>
      </c>
      <c r="F679" t="s">
        <v>1496</v>
      </c>
      <c r="G679">
        <v>94</v>
      </c>
      <c r="H679">
        <v>3</v>
      </c>
      <c r="I679">
        <v>1</v>
      </c>
      <c r="J679" t="s">
        <v>1476</v>
      </c>
      <c r="K679" t="s">
        <v>1477</v>
      </c>
      <c r="L679">
        <v>4</v>
      </c>
      <c r="M679" t="s">
        <v>15</v>
      </c>
      <c r="N679">
        <v>1</v>
      </c>
      <c r="O679" t="s">
        <v>13</v>
      </c>
      <c r="P679">
        <v>5</v>
      </c>
      <c r="Q679" s="4">
        <v>45994</v>
      </c>
      <c r="R679" s="4"/>
      <c r="S679" t="str">
        <f>TEXT(Table1[[#This Row],[Hiring Date]],"mmmm")</f>
        <v>December</v>
      </c>
      <c r="T679" s="1">
        <f>COUNTIF(S:S,Table1[[#This Row],[Months List]])</f>
        <v>0</v>
      </c>
      <c r="U679" t="str">
        <f>TEXT(Table1[[#This Row],[Hiring Date]],"dddd")</f>
        <v>Wednesday</v>
      </c>
      <c r="V679" s="1" t="str">
        <f>TEXT(Table1[[#This Row],[Hiring Date]],"yyyy")</f>
        <v>2025</v>
      </c>
    </row>
    <row r="680" spans="1:22">
      <c r="A680" t="s">
        <v>291</v>
      </c>
      <c r="B680">
        <v>37</v>
      </c>
      <c r="C680">
        <v>228</v>
      </c>
      <c r="D680" t="s">
        <v>11</v>
      </c>
      <c r="E680" t="s">
        <v>1495</v>
      </c>
      <c r="F680" t="s">
        <v>1496</v>
      </c>
      <c r="G680">
        <v>98</v>
      </c>
      <c r="H680">
        <v>3</v>
      </c>
      <c r="I680">
        <v>2</v>
      </c>
      <c r="J680" t="s">
        <v>1474</v>
      </c>
      <c r="K680" t="s">
        <v>1475</v>
      </c>
      <c r="L680">
        <v>4</v>
      </c>
      <c r="M680" t="s">
        <v>15</v>
      </c>
      <c r="N680">
        <v>4</v>
      </c>
      <c r="O680" t="s">
        <v>13</v>
      </c>
      <c r="P680">
        <v>7</v>
      </c>
      <c r="Q680" s="4">
        <v>45707</v>
      </c>
      <c r="R680" s="4"/>
      <c r="S680" t="str">
        <f>TEXT(Table1[[#This Row],[Hiring Date]],"mmmm")</f>
        <v>February</v>
      </c>
      <c r="T680" s="1">
        <f>COUNTIF(S:S,Table1[[#This Row],[Months List]])</f>
        <v>0</v>
      </c>
      <c r="U680" t="str">
        <f>TEXT(Table1[[#This Row],[Hiring Date]],"dddd")</f>
        <v>Wednesday</v>
      </c>
      <c r="V680" s="1" t="str">
        <f>TEXT(Table1[[#This Row],[Hiring Date]],"yyyy")</f>
        <v>2025</v>
      </c>
    </row>
    <row r="681" spans="1:22">
      <c r="A681" t="s">
        <v>292</v>
      </c>
      <c r="B681">
        <v>21</v>
      </c>
      <c r="C681">
        <v>996</v>
      </c>
      <c r="D681" t="s">
        <v>14</v>
      </c>
      <c r="E681" t="s">
        <v>1495</v>
      </c>
      <c r="F681" t="s">
        <v>1496</v>
      </c>
      <c r="G681">
        <v>100</v>
      </c>
      <c r="H681">
        <v>2</v>
      </c>
      <c r="I681">
        <v>1</v>
      </c>
      <c r="J681" t="s">
        <v>1476</v>
      </c>
      <c r="K681" t="s">
        <v>1477</v>
      </c>
      <c r="L681">
        <v>3</v>
      </c>
      <c r="M681" t="s">
        <v>12</v>
      </c>
      <c r="N681">
        <v>1</v>
      </c>
      <c r="O681" t="s">
        <v>13</v>
      </c>
      <c r="P681">
        <v>3</v>
      </c>
      <c r="Q681" s="4">
        <v>45885</v>
      </c>
      <c r="R681" s="4"/>
      <c r="S681" t="str">
        <f>TEXT(Table1[[#This Row],[Hiring Date]],"mmmm")</f>
        <v>August</v>
      </c>
      <c r="T681" s="1">
        <f>COUNTIF(S:S,Table1[[#This Row],[Months List]])</f>
        <v>0</v>
      </c>
      <c r="U681" t="str">
        <f>TEXT(Table1[[#This Row],[Hiring Date]],"dddd")</f>
        <v>Saturday</v>
      </c>
      <c r="V681" s="1" t="str">
        <f>TEXT(Table1[[#This Row],[Hiring Date]],"yyyy")</f>
        <v>2025</v>
      </c>
    </row>
    <row r="682" spans="1:22">
      <c r="A682" t="s">
        <v>293</v>
      </c>
      <c r="B682">
        <v>37</v>
      </c>
      <c r="C682">
        <v>728</v>
      </c>
      <c r="D682" t="s">
        <v>14</v>
      </c>
      <c r="E682" t="s">
        <v>1495</v>
      </c>
      <c r="F682" t="s">
        <v>1499</v>
      </c>
      <c r="G682">
        <v>80</v>
      </c>
      <c r="H682">
        <v>3</v>
      </c>
      <c r="I682">
        <v>3</v>
      </c>
      <c r="J682" t="s">
        <v>1487</v>
      </c>
      <c r="K682" t="s">
        <v>1488</v>
      </c>
      <c r="L682">
        <v>4</v>
      </c>
      <c r="M682" t="s">
        <v>16</v>
      </c>
      <c r="N682">
        <v>2</v>
      </c>
      <c r="O682" t="s">
        <v>10</v>
      </c>
      <c r="P682">
        <v>15</v>
      </c>
      <c r="Q682" s="4">
        <v>45726</v>
      </c>
      <c r="R682" s="4"/>
      <c r="S682" t="str">
        <f>TEXT(Table1[[#This Row],[Hiring Date]],"mmmm")</f>
        <v>March</v>
      </c>
      <c r="T682" s="1">
        <f>COUNTIF(S:S,Table1[[#This Row],[Months List]])</f>
        <v>0</v>
      </c>
      <c r="U682" t="str">
        <f>TEXT(Table1[[#This Row],[Hiring Date]],"dddd")</f>
        <v>Monday</v>
      </c>
      <c r="V682" s="1" t="str">
        <f>TEXT(Table1[[#This Row],[Hiring Date]],"yyyy")</f>
        <v>2025</v>
      </c>
    </row>
    <row r="683" spans="1:22">
      <c r="A683" t="s">
        <v>294</v>
      </c>
      <c r="B683">
        <v>35</v>
      </c>
      <c r="C683">
        <v>1315</v>
      </c>
      <c r="D683" t="s">
        <v>14</v>
      </c>
      <c r="E683" t="s">
        <v>1497</v>
      </c>
      <c r="F683" t="s">
        <v>1499</v>
      </c>
      <c r="G683">
        <v>71</v>
      </c>
      <c r="H683">
        <v>4</v>
      </c>
      <c r="I683">
        <v>3</v>
      </c>
      <c r="J683" t="s">
        <v>1482</v>
      </c>
      <c r="K683" t="s">
        <v>1483</v>
      </c>
      <c r="L683">
        <v>2</v>
      </c>
      <c r="M683" t="s">
        <v>16</v>
      </c>
      <c r="N683">
        <v>7</v>
      </c>
      <c r="O683" t="s">
        <v>13</v>
      </c>
      <c r="P683">
        <v>10</v>
      </c>
      <c r="Q683" s="4">
        <v>45960</v>
      </c>
      <c r="R683" s="4"/>
      <c r="S683" t="str">
        <f>TEXT(Table1[[#This Row],[Hiring Date]],"mmmm")</f>
        <v>October</v>
      </c>
      <c r="T683" s="1">
        <f>COUNTIF(S:S,Table1[[#This Row],[Months List]])</f>
        <v>0</v>
      </c>
      <c r="U683" t="str">
        <f>TEXT(Table1[[#This Row],[Hiring Date]],"dddd")</f>
        <v>Thursday</v>
      </c>
      <c r="V683" s="1" t="str">
        <f>TEXT(Table1[[#This Row],[Hiring Date]],"yyyy")</f>
        <v>2025</v>
      </c>
    </row>
    <row r="684" spans="1:22">
      <c r="A684" t="s">
        <v>295</v>
      </c>
      <c r="B684">
        <v>38</v>
      </c>
      <c r="C684">
        <v>322</v>
      </c>
      <c r="D684" t="s">
        <v>11</v>
      </c>
      <c r="E684" t="s">
        <v>1495</v>
      </c>
      <c r="F684" t="s">
        <v>1499</v>
      </c>
      <c r="G684">
        <v>44</v>
      </c>
      <c r="H684">
        <v>4</v>
      </c>
      <c r="I684">
        <v>2</v>
      </c>
      <c r="J684" t="s">
        <v>1474</v>
      </c>
      <c r="K684" t="s">
        <v>1475</v>
      </c>
      <c r="L684">
        <v>1</v>
      </c>
      <c r="M684" t="s">
        <v>16</v>
      </c>
      <c r="N684">
        <v>1</v>
      </c>
      <c r="O684" t="s">
        <v>10</v>
      </c>
      <c r="P684">
        <v>8</v>
      </c>
      <c r="Q684" s="4">
        <v>45904</v>
      </c>
      <c r="R684" s="4"/>
      <c r="S684" t="str">
        <f>TEXT(Table1[[#This Row],[Hiring Date]],"mmmm")</f>
        <v>September</v>
      </c>
      <c r="T684" s="1">
        <f>COUNTIF(S:S,Table1[[#This Row],[Months List]])</f>
        <v>0</v>
      </c>
      <c r="U684" t="str">
        <f>TEXT(Table1[[#This Row],[Hiring Date]],"dddd")</f>
        <v>Thursday</v>
      </c>
      <c r="V684" s="1" t="str">
        <f>TEXT(Table1[[#This Row],[Hiring Date]],"yyyy")</f>
        <v>2025</v>
      </c>
    </row>
    <row r="685" spans="1:22">
      <c r="A685" t="s">
        <v>296</v>
      </c>
      <c r="B685">
        <v>26</v>
      </c>
      <c r="C685">
        <v>1479</v>
      </c>
      <c r="D685" t="s">
        <v>14</v>
      </c>
      <c r="E685" t="s">
        <v>1497</v>
      </c>
      <c r="F685" t="s">
        <v>1499</v>
      </c>
      <c r="G685">
        <v>84</v>
      </c>
      <c r="H685">
        <v>3</v>
      </c>
      <c r="I685">
        <v>2</v>
      </c>
      <c r="J685" t="s">
        <v>1480</v>
      </c>
      <c r="K685" t="s">
        <v>1481</v>
      </c>
      <c r="L685">
        <v>2</v>
      </c>
      <c r="M685" t="s">
        <v>16</v>
      </c>
      <c r="N685">
        <v>1</v>
      </c>
      <c r="O685" t="s">
        <v>13</v>
      </c>
      <c r="P685">
        <v>6</v>
      </c>
      <c r="Q685" s="4">
        <v>45896</v>
      </c>
      <c r="R685" s="4"/>
      <c r="S685" t="str">
        <f>TEXT(Table1[[#This Row],[Hiring Date]],"mmmm")</f>
        <v>August</v>
      </c>
      <c r="T685" s="1">
        <f>COUNTIF(S:S,Table1[[#This Row],[Months List]])</f>
        <v>0</v>
      </c>
      <c r="U685" t="str">
        <f>TEXT(Table1[[#This Row],[Hiring Date]],"dddd")</f>
        <v>Wednesday</v>
      </c>
      <c r="V685" s="1" t="str">
        <f>TEXT(Table1[[#This Row],[Hiring Date]],"yyyy")</f>
        <v>2025</v>
      </c>
    </row>
    <row r="686" spans="1:22">
      <c r="A686" t="s">
        <v>36</v>
      </c>
      <c r="B686">
        <v>53</v>
      </c>
      <c r="C686">
        <v>1219</v>
      </c>
      <c r="D686" t="s">
        <v>11</v>
      </c>
      <c r="E686" t="s">
        <v>1497</v>
      </c>
      <c r="F686" t="s">
        <v>1499</v>
      </c>
      <c r="G686">
        <v>78</v>
      </c>
      <c r="H686">
        <v>2</v>
      </c>
      <c r="I686">
        <v>4</v>
      </c>
      <c r="J686" t="s">
        <v>1482</v>
      </c>
      <c r="K686" t="s">
        <v>1483</v>
      </c>
      <c r="L686">
        <v>4</v>
      </c>
      <c r="M686" t="s">
        <v>15</v>
      </c>
      <c r="N686">
        <v>2</v>
      </c>
      <c r="O686" t="s">
        <v>13</v>
      </c>
      <c r="P686">
        <v>31</v>
      </c>
      <c r="Q686" s="4">
        <v>45773</v>
      </c>
      <c r="R686" s="4"/>
      <c r="S686" t="str">
        <f>TEXT(Table1[[#This Row],[Hiring Date]],"mmmm")</f>
        <v>April</v>
      </c>
      <c r="T686" s="1">
        <f>COUNTIF(S:S,Table1[[#This Row],[Months List]])</f>
        <v>0</v>
      </c>
      <c r="U686" t="str">
        <f>TEXT(Table1[[#This Row],[Hiring Date]],"dddd")</f>
        <v>Saturday</v>
      </c>
      <c r="V686" s="1" t="str">
        <f>TEXT(Table1[[#This Row],[Hiring Date]],"yyyy")</f>
        <v>2025</v>
      </c>
    </row>
    <row r="687" spans="1:22">
      <c r="A687" t="s">
        <v>297</v>
      </c>
      <c r="B687">
        <v>50</v>
      </c>
      <c r="C687">
        <v>797</v>
      </c>
      <c r="D687" t="s">
        <v>14</v>
      </c>
      <c r="E687" t="s">
        <v>1497</v>
      </c>
      <c r="F687" t="s">
        <v>1496</v>
      </c>
      <c r="G687">
        <v>96</v>
      </c>
      <c r="H687">
        <v>3</v>
      </c>
      <c r="I687">
        <v>5</v>
      </c>
      <c r="J687" t="s">
        <v>1487</v>
      </c>
      <c r="K687" t="s">
        <v>1488</v>
      </c>
      <c r="L687">
        <v>2</v>
      </c>
      <c r="M687" t="s">
        <v>16</v>
      </c>
      <c r="N687">
        <v>3</v>
      </c>
      <c r="O687" t="s">
        <v>13</v>
      </c>
      <c r="P687">
        <v>28</v>
      </c>
      <c r="Q687" s="4">
        <v>45938</v>
      </c>
      <c r="R687" s="4"/>
      <c r="S687" t="str">
        <f>TEXT(Table1[[#This Row],[Hiring Date]],"mmmm")</f>
        <v>October</v>
      </c>
      <c r="T687" s="1">
        <f>COUNTIF(S:S,Table1[[#This Row],[Months List]])</f>
        <v>0</v>
      </c>
      <c r="U687" t="str">
        <f>TEXT(Table1[[#This Row],[Hiring Date]],"dddd")</f>
        <v>Wednesday</v>
      </c>
      <c r="V687" s="1" t="str">
        <f>TEXT(Table1[[#This Row],[Hiring Date]],"yyyy")</f>
        <v>2025</v>
      </c>
    </row>
    <row r="688" spans="1:22">
      <c r="A688" t="s">
        <v>298</v>
      </c>
      <c r="B688">
        <v>53</v>
      </c>
      <c r="C688">
        <v>1070</v>
      </c>
      <c r="D688" t="s">
        <v>14</v>
      </c>
      <c r="E688" t="s">
        <v>1495</v>
      </c>
      <c r="F688" t="s">
        <v>1496</v>
      </c>
      <c r="G688">
        <v>45</v>
      </c>
      <c r="H688">
        <v>3</v>
      </c>
      <c r="I688">
        <v>4</v>
      </c>
      <c r="J688" t="s">
        <v>1487</v>
      </c>
      <c r="K688" t="s">
        <v>1488</v>
      </c>
      <c r="L688">
        <v>3</v>
      </c>
      <c r="M688" t="s">
        <v>15</v>
      </c>
      <c r="N688">
        <v>3</v>
      </c>
      <c r="O688" t="s">
        <v>10</v>
      </c>
      <c r="P688">
        <v>21</v>
      </c>
      <c r="Q688" s="4">
        <v>45789</v>
      </c>
      <c r="R688" s="4"/>
      <c r="S688" t="str">
        <f>TEXT(Table1[[#This Row],[Hiring Date]],"mmmm")</f>
        <v>May</v>
      </c>
      <c r="T688" s="1">
        <f>COUNTIF(S:S,Table1[[#This Row],[Months List]])</f>
        <v>0</v>
      </c>
      <c r="U688" t="str">
        <f>TEXT(Table1[[#This Row],[Hiring Date]],"dddd")</f>
        <v>Monday</v>
      </c>
      <c r="V688" s="1" t="str">
        <f>TEXT(Table1[[#This Row],[Hiring Date]],"yyyy")</f>
        <v>2025</v>
      </c>
    </row>
    <row r="689" spans="1:22">
      <c r="A689" t="s">
        <v>299</v>
      </c>
      <c r="B689">
        <v>42</v>
      </c>
      <c r="C689">
        <v>635</v>
      </c>
      <c r="D689" t="s">
        <v>11</v>
      </c>
      <c r="E689" t="s">
        <v>1497</v>
      </c>
      <c r="F689" t="s">
        <v>1496</v>
      </c>
      <c r="G689">
        <v>99</v>
      </c>
      <c r="H689">
        <v>3</v>
      </c>
      <c r="I689">
        <v>2</v>
      </c>
      <c r="J689" t="s">
        <v>1474</v>
      </c>
      <c r="K689" t="s">
        <v>1475</v>
      </c>
      <c r="L689">
        <v>3</v>
      </c>
      <c r="M689" t="s">
        <v>15</v>
      </c>
      <c r="N689">
        <v>1</v>
      </c>
      <c r="O689" t="s">
        <v>13</v>
      </c>
      <c r="P689">
        <v>20</v>
      </c>
      <c r="Q689" s="4">
        <v>45764</v>
      </c>
      <c r="R689" s="4"/>
      <c r="S689" t="str">
        <f>TEXT(Table1[[#This Row],[Hiring Date]],"mmmm")</f>
        <v>April</v>
      </c>
      <c r="T689" s="1">
        <f>COUNTIF(S:S,Table1[[#This Row],[Months List]])</f>
        <v>0</v>
      </c>
      <c r="U689" t="str">
        <f>TEXT(Table1[[#This Row],[Hiring Date]],"dddd")</f>
        <v>Thursday</v>
      </c>
      <c r="V689" s="1" t="str">
        <f>TEXT(Table1[[#This Row],[Hiring Date]],"yyyy")</f>
        <v>2025</v>
      </c>
    </row>
    <row r="690" spans="1:22">
      <c r="A690" t="s">
        <v>300</v>
      </c>
      <c r="B690">
        <v>29</v>
      </c>
      <c r="C690">
        <v>442</v>
      </c>
      <c r="D690" t="s">
        <v>11</v>
      </c>
      <c r="E690" t="s">
        <v>1497</v>
      </c>
      <c r="F690" t="s">
        <v>1496</v>
      </c>
      <c r="G690">
        <v>44</v>
      </c>
      <c r="H690">
        <v>3</v>
      </c>
      <c r="I690">
        <v>2</v>
      </c>
      <c r="J690" t="s">
        <v>1474</v>
      </c>
      <c r="K690" t="s">
        <v>1475</v>
      </c>
      <c r="L690">
        <v>4</v>
      </c>
      <c r="M690" t="s">
        <v>12</v>
      </c>
      <c r="N690">
        <v>1</v>
      </c>
      <c r="O690" t="s">
        <v>13</v>
      </c>
      <c r="P690">
        <v>10</v>
      </c>
      <c r="Q690" s="4">
        <v>45757</v>
      </c>
      <c r="R690" s="4"/>
      <c r="S690" t="str">
        <f>TEXT(Table1[[#This Row],[Hiring Date]],"mmmm")</f>
        <v>April</v>
      </c>
      <c r="T690" s="1">
        <f>COUNTIF(S:S,Table1[[#This Row],[Months List]])</f>
        <v>0</v>
      </c>
      <c r="U690" t="str">
        <f>TEXT(Table1[[#This Row],[Hiring Date]],"dddd")</f>
        <v>Thursday</v>
      </c>
      <c r="V690" s="1" t="str">
        <f>TEXT(Table1[[#This Row],[Hiring Date]],"yyyy")</f>
        <v>2025</v>
      </c>
    </row>
    <row r="691" spans="1:22">
      <c r="A691" t="s">
        <v>301</v>
      </c>
      <c r="B691">
        <v>55</v>
      </c>
      <c r="C691">
        <v>147</v>
      </c>
      <c r="D691" t="s">
        <v>14</v>
      </c>
      <c r="E691" t="s">
        <v>1501</v>
      </c>
      <c r="F691" t="s">
        <v>1496</v>
      </c>
      <c r="G691">
        <v>37</v>
      </c>
      <c r="H691">
        <v>3</v>
      </c>
      <c r="I691">
        <v>2</v>
      </c>
      <c r="J691" t="s">
        <v>1484</v>
      </c>
      <c r="K691" t="s">
        <v>1485</v>
      </c>
      <c r="L691">
        <v>4</v>
      </c>
      <c r="M691" t="s">
        <v>15</v>
      </c>
      <c r="N691">
        <v>3</v>
      </c>
      <c r="O691" t="s">
        <v>10</v>
      </c>
      <c r="P691">
        <v>12</v>
      </c>
      <c r="Q691" s="4">
        <v>45998</v>
      </c>
      <c r="R691" s="4"/>
      <c r="S691" t="str">
        <f>TEXT(Table1[[#This Row],[Hiring Date]],"mmmm")</f>
        <v>December</v>
      </c>
      <c r="T691" s="1">
        <f>COUNTIF(S:S,Table1[[#This Row],[Months List]])</f>
        <v>0</v>
      </c>
      <c r="U691" t="str">
        <f>TEXT(Table1[[#This Row],[Hiring Date]],"dddd")</f>
        <v>Sunday</v>
      </c>
      <c r="V691" s="1" t="str">
        <f>TEXT(Table1[[#This Row],[Hiring Date]],"yyyy")</f>
        <v>2025</v>
      </c>
    </row>
    <row r="692" spans="1:22">
      <c r="A692" t="s">
        <v>302</v>
      </c>
      <c r="B692">
        <v>26</v>
      </c>
      <c r="C692">
        <v>496</v>
      </c>
      <c r="D692" t="s">
        <v>14</v>
      </c>
      <c r="E692" t="s">
        <v>1495</v>
      </c>
      <c r="F692" t="s">
        <v>1496</v>
      </c>
      <c r="G692">
        <v>60</v>
      </c>
      <c r="H692">
        <v>3</v>
      </c>
      <c r="I692">
        <v>2</v>
      </c>
      <c r="J692" t="s">
        <v>1478</v>
      </c>
      <c r="K692" t="s">
        <v>1479</v>
      </c>
      <c r="L692">
        <v>1</v>
      </c>
      <c r="M692" t="s">
        <v>15</v>
      </c>
      <c r="N692">
        <v>1</v>
      </c>
      <c r="O692" t="s">
        <v>10</v>
      </c>
      <c r="P692">
        <v>5</v>
      </c>
      <c r="Q692" s="4">
        <v>45980</v>
      </c>
      <c r="R692" s="4"/>
      <c r="S692" t="str">
        <f>TEXT(Table1[[#This Row],[Hiring Date]],"mmmm")</f>
        <v>November</v>
      </c>
      <c r="T692" s="1">
        <f>COUNTIF(S:S,Table1[[#This Row],[Months List]])</f>
        <v>0</v>
      </c>
      <c r="U692" t="str">
        <f>TEXT(Table1[[#This Row],[Hiring Date]],"dddd")</f>
        <v>Wednesday</v>
      </c>
      <c r="V692" s="1" t="str">
        <f>TEXT(Table1[[#This Row],[Hiring Date]],"yyyy")</f>
        <v>2025</v>
      </c>
    </row>
    <row r="693" spans="1:22">
      <c r="A693" t="s">
        <v>303</v>
      </c>
      <c r="B693">
        <v>37</v>
      </c>
      <c r="C693">
        <v>1372</v>
      </c>
      <c r="D693" t="s">
        <v>14</v>
      </c>
      <c r="E693" t="s">
        <v>1497</v>
      </c>
      <c r="F693" t="s">
        <v>1499</v>
      </c>
      <c r="G693">
        <v>42</v>
      </c>
      <c r="H693">
        <v>3</v>
      </c>
      <c r="I693">
        <v>1</v>
      </c>
      <c r="J693" t="s">
        <v>1476</v>
      </c>
      <c r="K693" t="s">
        <v>1477</v>
      </c>
      <c r="L693">
        <v>4</v>
      </c>
      <c r="M693" t="s">
        <v>12</v>
      </c>
      <c r="N693">
        <v>1</v>
      </c>
      <c r="O693" t="s">
        <v>13</v>
      </c>
      <c r="P693">
        <v>17</v>
      </c>
      <c r="Q693" s="4">
        <v>45956</v>
      </c>
      <c r="R693" s="4"/>
      <c r="S693" t="str">
        <f>TEXT(Table1[[#This Row],[Hiring Date]],"mmmm")</f>
        <v>October</v>
      </c>
      <c r="T693" s="1">
        <f>COUNTIF(S:S,Table1[[#This Row],[Months List]])</f>
        <v>0</v>
      </c>
      <c r="U693" t="str">
        <f>TEXT(Table1[[#This Row],[Hiring Date]],"dddd")</f>
        <v>Sunday</v>
      </c>
      <c r="V693" s="1" t="str">
        <f>TEXT(Table1[[#This Row],[Hiring Date]],"yyyy")</f>
        <v>2025</v>
      </c>
    </row>
    <row r="694" spans="1:22">
      <c r="A694" t="s">
        <v>304</v>
      </c>
      <c r="B694">
        <v>44</v>
      </c>
      <c r="C694">
        <v>920</v>
      </c>
      <c r="D694" t="s">
        <v>14</v>
      </c>
      <c r="E694" t="s">
        <v>1497</v>
      </c>
      <c r="F694" t="s">
        <v>1496</v>
      </c>
      <c r="G694">
        <v>43</v>
      </c>
      <c r="H694">
        <v>3</v>
      </c>
      <c r="I694">
        <v>1</v>
      </c>
      <c r="J694" t="s">
        <v>1484</v>
      </c>
      <c r="K694" t="s">
        <v>1485</v>
      </c>
      <c r="L694">
        <v>3</v>
      </c>
      <c r="M694" t="s">
        <v>16</v>
      </c>
      <c r="N694">
        <v>3</v>
      </c>
      <c r="O694" t="s">
        <v>10</v>
      </c>
      <c r="P694">
        <v>19</v>
      </c>
      <c r="Q694" s="4">
        <v>45648</v>
      </c>
      <c r="R694" s="4"/>
      <c r="S694" t="str">
        <f>TEXT(Table1[[#This Row],[Hiring Date]],"mmmm")</f>
        <v>December</v>
      </c>
      <c r="T694" s="1">
        <f>COUNTIF(S:S,Table1[[#This Row],[Months List]])</f>
        <v>0</v>
      </c>
      <c r="U694" t="str">
        <f>TEXT(Table1[[#This Row],[Hiring Date]],"dddd")</f>
        <v>Sunday</v>
      </c>
      <c r="V694" s="1" t="str">
        <f>TEXT(Table1[[#This Row],[Hiring Date]],"yyyy")</f>
        <v>2024</v>
      </c>
    </row>
    <row r="695" spans="1:22">
      <c r="A695" t="s">
        <v>305</v>
      </c>
      <c r="B695">
        <v>38</v>
      </c>
      <c r="C695">
        <v>688</v>
      </c>
      <c r="D695" t="s">
        <v>14</v>
      </c>
      <c r="E695" t="s">
        <v>1497</v>
      </c>
      <c r="F695" t="s">
        <v>1496</v>
      </c>
      <c r="G695">
        <v>82</v>
      </c>
      <c r="H695">
        <v>3</v>
      </c>
      <c r="I695">
        <v>2</v>
      </c>
      <c r="J695" t="s">
        <v>1478</v>
      </c>
      <c r="K695" t="s">
        <v>1479</v>
      </c>
      <c r="L695">
        <v>4</v>
      </c>
      <c r="M695" t="s">
        <v>16</v>
      </c>
      <c r="N695">
        <v>9</v>
      </c>
      <c r="O695" t="s">
        <v>13</v>
      </c>
      <c r="P695">
        <v>10</v>
      </c>
      <c r="Q695" s="4">
        <v>45860</v>
      </c>
      <c r="R695" s="4"/>
      <c r="S695" t="str">
        <f>TEXT(Table1[[#This Row],[Hiring Date]],"mmmm")</f>
        <v>July</v>
      </c>
      <c r="T695" s="1">
        <f>COUNTIF(S:S,Table1[[#This Row],[Months List]])</f>
        <v>0</v>
      </c>
      <c r="U695" t="str">
        <f>TEXT(Table1[[#This Row],[Hiring Date]],"dddd")</f>
        <v>Tuesday</v>
      </c>
      <c r="V695" s="1" t="str">
        <f>TEXT(Table1[[#This Row],[Hiring Date]],"yyyy")</f>
        <v>2025</v>
      </c>
    </row>
    <row r="696" spans="1:22">
      <c r="A696" t="s">
        <v>306</v>
      </c>
      <c r="B696">
        <v>26</v>
      </c>
      <c r="C696">
        <v>1449</v>
      </c>
      <c r="D696" t="s">
        <v>14</v>
      </c>
      <c r="E696" t="s">
        <v>1495</v>
      </c>
      <c r="F696" t="s">
        <v>1496</v>
      </c>
      <c r="G696">
        <v>45</v>
      </c>
      <c r="H696">
        <v>3</v>
      </c>
      <c r="I696">
        <v>1</v>
      </c>
      <c r="J696" t="s">
        <v>1484</v>
      </c>
      <c r="K696" t="s">
        <v>1485</v>
      </c>
      <c r="L696">
        <v>2</v>
      </c>
      <c r="M696" t="s">
        <v>16</v>
      </c>
      <c r="N696">
        <v>2</v>
      </c>
      <c r="O696" t="s">
        <v>10</v>
      </c>
      <c r="P696">
        <v>5</v>
      </c>
      <c r="Q696" s="4">
        <v>45674</v>
      </c>
      <c r="R696" s="4"/>
      <c r="S696" t="str">
        <f>TEXT(Table1[[#This Row],[Hiring Date]],"mmmm")</f>
        <v>January</v>
      </c>
      <c r="T696" s="1">
        <f>COUNTIF(S:S,Table1[[#This Row],[Months List]])</f>
        <v>0</v>
      </c>
      <c r="U696" t="str">
        <f>TEXT(Table1[[#This Row],[Hiring Date]],"dddd")</f>
        <v>Friday</v>
      </c>
      <c r="V696" s="1" t="str">
        <f>TEXT(Table1[[#This Row],[Hiring Date]],"yyyy")</f>
        <v>2025</v>
      </c>
    </row>
    <row r="697" spans="1:22">
      <c r="A697" t="s">
        <v>37</v>
      </c>
      <c r="B697">
        <v>38</v>
      </c>
      <c r="C697">
        <v>371</v>
      </c>
      <c r="D697" t="s">
        <v>14</v>
      </c>
      <c r="E697" t="s">
        <v>1497</v>
      </c>
      <c r="F697" t="s">
        <v>1496</v>
      </c>
      <c r="G697">
        <v>45</v>
      </c>
      <c r="H697">
        <v>3</v>
      </c>
      <c r="I697">
        <v>1</v>
      </c>
      <c r="J697" t="s">
        <v>1476</v>
      </c>
      <c r="K697" t="s">
        <v>1477</v>
      </c>
      <c r="L697">
        <v>4</v>
      </c>
      <c r="M697" t="s">
        <v>12</v>
      </c>
      <c r="N697">
        <v>5</v>
      </c>
      <c r="O697" t="s">
        <v>10</v>
      </c>
      <c r="P697">
        <v>6</v>
      </c>
      <c r="Q697" s="4">
        <v>45819</v>
      </c>
      <c r="R697" s="4"/>
      <c r="S697" t="str">
        <f>TEXT(Table1[[#This Row],[Hiring Date]],"mmmm")</f>
        <v>June</v>
      </c>
      <c r="T697" s="1">
        <f>COUNTIF(S:S,Table1[[#This Row],[Months List]])</f>
        <v>0</v>
      </c>
      <c r="U697" t="str">
        <f>TEXT(Table1[[#This Row],[Hiring Date]],"dddd")</f>
        <v>Wednesday</v>
      </c>
      <c r="V697" s="1" t="str">
        <f>TEXT(Table1[[#This Row],[Hiring Date]],"yyyy")</f>
        <v>2025</v>
      </c>
    </row>
    <row r="698" spans="1:22">
      <c r="A698" t="s">
        <v>307</v>
      </c>
      <c r="B698">
        <v>28</v>
      </c>
      <c r="C698">
        <v>1117</v>
      </c>
      <c r="D698" t="s">
        <v>14</v>
      </c>
      <c r="E698" t="s">
        <v>1497</v>
      </c>
      <c r="F698" t="s">
        <v>1499</v>
      </c>
      <c r="G698">
        <v>66</v>
      </c>
      <c r="H698">
        <v>3</v>
      </c>
      <c r="I698">
        <v>1</v>
      </c>
      <c r="J698" t="s">
        <v>1476</v>
      </c>
      <c r="K698" t="s">
        <v>1477</v>
      </c>
      <c r="L698">
        <v>4</v>
      </c>
      <c r="M698" t="s">
        <v>12</v>
      </c>
      <c r="N698">
        <v>1</v>
      </c>
      <c r="O698" t="s">
        <v>13</v>
      </c>
      <c r="P698">
        <v>5</v>
      </c>
      <c r="Q698" s="4">
        <v>45674</v>
      </c>
      <c r="R698" s="4"/>
      <c r="S698" t="str">
        <f>TEXT(Table1[[#This Row],[Hiring Date]],"mmmm")</f>
        <v>January</v>
      </c>
      <c r="T698" s="1">
        <f>COUNTIF(S:S,Table1[[#This Row],[Months List]])</f>
        <v>0</v>
      </c>
      <c r="U698" t="str">
        <f>TEXT(Table1[[#This Row],[Hiring Date]],"dddd")</f>
        <v>Friday</v>
      </c>
      <c r="V698" s="1" t="str">
        <f>TEXT(Table1[[#This Row],[Hiring Date]],"yyyy")</f>
        <v>2025</v>
      </c>
    </row>
    <row r="699" spans="1:22">
      <c r="A699" t="s">
        <v>308</v>
      </c>
      <c r="B699">
        <v>49</v>
      </c>
      <c r="C699">
        <v>636</v>
      </c>
      <c r="D699" t="s">
        <v>14</v>
      </c>
      <c r="E699" t="s">
        <v>1497</v>
      </c>
      <c r="F699" t="s">
        <v>1499</v>
      </c>
      <c r="G699">
        <v>35</v>
      </c>
      <c r="H699">
        <v>3</v>
      </c>
      <c r="I699">
        <v>5</v>
      </c>
      <c r="J699" t="s">
        <v>1487</v>
      </c>
      <c r="K699" t="s">
        <v>1488</v>
      </c>
      <c r="L699">
        <v>1</v>
      </c>
      <c r="M699" t="s">
        <v>12</v>
      </c>
      <c r="N699">
        <v>9</v>
      </c>
      <c r="O699" t="s">
        <v>10</v>
      </c>
      <c r="P699">
        <v>22</v>
      </c>
      <c r="Q699" s="4">
        <v>45876</v>
      </c>
      <c r="R699" s="4"/>
      <c r="S699" t="str">
        <f>TEXT(Table1[[#This Row],[Hiring Date]],"mmmm")</f>
        <v>August</v>
      </c>
      <c r="T699" s="1">
        <f>COUNTIF(S:S,Table1[[#This Row],[Months List]])</f>
        <v>0</v>
      </c>
      <c r="U699" t="str">
        <f>TEXT(Table1[[#This Row],[Hiring Date]],"dddd")</f>
        <v>Thursday</v>
      </c>
      <c r="V699" s="1" t="str">
        <f>TEXT(Table1[[#This Row],[Hiring Date]],"yyyy")</f>
        <v>2025</v>
      </c>
    </row>
    <row r="700" spans="1:22">
      <c r="A700" t="s">
        <v>309</v>
      </c>
      <c r="B700">
        <v>36</v>
      </c>
      <c r="C700">
        <v>506</v>
      </c>
      <c r="D700" t="s">
        <v>14</v>
      </c>
      <c r="E700" t="s">
        <v>1501</v>
      </c>
      <c r="F700" t="s">
        <v>1496</v>
      </c>
      <c r="G700">
        <v>30</v>
      </c>
      <c r="H700">
        <v>3</v>
      </c>
      <c r="I700">
        <v>2</v>
      </c>
      <c r="J700" t="s">
        <v>1476</v>
      </c>
      <c r="K700" t="s">
        <v>1477</v>
      </c>
      <c r="L700">
        <v>2</v>
      </c>
      <c r="M700" t="s">
        <v>12</v>
      </c>
      <c r="N700">
        <v>4</v>
      </c>
      <c r="O700" t="s">
        <v>13</v>
      </c>
      <c r="P700">
        <v>10</v>
      </c>
      <c r="Q700" s="4">
        <v>45980</v>
      </c>
      <c r="R700" s="4"/>
      <c r="S700" t="str">
        <f>TEXT(Table1[[#This Row],[Hiring Date]],"mmmm")</f>
        <v>November</v>
      </c>
      <c r="T700" s="1">
        <f>COUNTIF(S:S,Table1[[#This Row],[Months List]])</f>
        <v>0</v>
      </c>
      <c r="U700" t="str">
        <f>TEXT(Table1[[#This Row],[Hiring Date]],"dddd")</f>
        <v>Wednesday</v>
      </c>
      <c r="V700" s="1" t="str">
        <f>TEXT(Table1[[#This Row],[Hiring Date]],"yyyy")</f>
        <v>2025</v>
      </c>
    </row>
    <row r="701" spans="1:22">
      <c r="A701" t="s">
        <v>310</v>
      </c>
      <c r="B701">
        <v>31</v>
      </c>
      <c r="C701">
        <v>444</v>
      </c>
      <c r="D701" t="s">
        <v>11</v>
      </c>
      <c r="E701" t="s">
        <v>1498</v>
      </c>
      <c r="F701" t="s">
        <v>1499</v>
      </c>
      <c r="G701">
        <v>84</v>
      </c>
      <c r="H701">
        <v>3</v>
      </c>
      <c r="I701">
        <v>1</v>
      </c>
      <c r="J701" t="s">
        <v>1489</v>
      </c>
      <c r="K701" t="s">
        <v>1490</v>
      </c>
      <c r="L701">
        <v>2</v>
      </c>
      <c r="M701" t="s">
        <v>16</v>
      </c>
      <c r="N701">
        <v>1</v>
      </c>
      <c r="O701" t="s">
        <v>13</v>
      </c>
      <c r="P701">
        <v>2</v>
      </c>
      <c r="Q701" s="4">
        <v>45828</v>
      </c>
      <c r="R701" s="4"/>
      <c r="S701" t="str">
        <f>TEXT(Table1[[#This Row],[Hiring Date]],"mmmm")</f>
        <v>June</v>
      </c>
      <c r="T701" s="1">
        <f>COUNTIF(S:S,Table1[[#This Row],[Months List]])</f>
        <v>0</v>
      </c>
      <c r="U701" t="str">
        <f>TEXT(Table1[[#This Row],[Hiring Date]],"dddd")</f>
        <v>Friday</v>
      </c>
      <c r="V701" s="1" t="str">
        <f>TEXT(Table1[[#This Row],[Hiring Date]],"yyyy")</f>
        <v>2025</v>
      </c>
    </row>
    <row r="702" spans="1:22">
      <c r="A702" t="s">
        <v>311</v>
      </c>
      <c r="B702">
        <v>26</v>
      </c>
      <c r="C702">
        <v>950</v>
      </c>
      <c r="D702" t="s">
        <v>11</v>
      </c>
      <c r="E702" t="s">
        <v>1498</v>
      </c>
      <c r="F702" t="s">
        <v>1496</v>
      </c>
      <c r="G702">
        <v>48</v>
      </c>
      <c r="H702">
        <v>2</v>
      </c>
      <c r="I702">
        <v>2</v>
      </c>
      <c r="J702" t="s">
        <v>1474</v>
      </c>
      <c r="K702" t="s">
        <v>1475</v>
      </c>
      <c r="L702">
        <v>4</v>
      </c>
      <c r="M702" t="s">
        <v>12</v>
      </c>
      <c r="N702">
        <v>1</v>
      </c>
      <c r="O702" t="s">
        <v>10</v>
      </c>
      <c r="P702">
        <v>8</v>
      </c>
      <c r="Q702" s="4">
        <v>45740</v>
      </c>
      <c r="R702" s="4"/>
      <c r="S702" t="str">
        <f>TEXT(Table1[[#This Row],[Hiring Date]],"mmmm")</f>
        <v>March</v>
      </c>
      <c r="T702" s="1">
        <f>COUNTIF(S:S,Table1[[#This Row],[Months List]])</f>
        <v>0</v>
      </c>
      <c r="U702" t="str">
        <f>TEXT(Table1[[#This Row],[Hiring Date]],"dddd")</f>
        <v>Monday</v>
      </c>
      <c r="V702" s="1" t="str">
        <f>TEXT(Table1[[#This Row],[Hiring Date]],"yyyy")</f>
        <v>2025</v>
      </c>
    </row>
    <row r="703" spans="1:22">
      <c r="A703" t="s">
        <v>312</v>
      </c>
      <c r="B703">
        <v>37</v>
      </c>
      <c r="C703">
        <v>889</v>
      </c>
      <c r="D703" t="s">
        <v>14</v>
      </c>
      <c r="E703" t="s">
        <v>1495</v>
      </c>
      <c r="F703" t="s">
        <v>1496</v>
      </c>
      <c r="G703">
        <v>53</v>
      </c>
      <c r="H703">
        <v>3</v>
      </c>
      <c r="I703">
        <v>1</v>
      </c>
      <c r="J703" t="s">
        <v>1476</v>
      </c>
      <c r="K703" t="s">
        <v>1477</v>
      </c>
      <c r="L703">
        <v>4</v>
      </c>
      <c r="M703" t="s">
        <v>15</v>
      </c>
      <c r="N703">
        <v>1</v>
      </c>
      <c r="O703" t="s">
        <v>10</v>
      </c>
      <c r="P703">
        <v>4</v>
      </c>
      <c r="Q703" s="4">
        <v>45719</v>
      </c>
      <c r="R703" s="4"/>
      <c r="S703" t="str">
        <f>TEXT(Table1[[#This Row],[Hiring Date]],"mmmm")</f>
        <v>March</v>
      </c>
      <c r="T703" s="1">
        <f>COUNTIF(S:S,Table1[[#This Row],[Months List]])</f>
        <v>0</v>
      </c>
      <c r="U703" t="str">
        <f>TEXT(Table1[[#This Row],[Hiring Date]],"dddd")</f>
        <v>Monday</v>
      </c>
      <c r="V703" s="1" t="str">
        <f>TEXT(Table1[[#This Row],[Hiring Date]],"yyyy")</f>
        <v>2025</v>
      </c>
    </row>
    <row r="704" spans="1:22">
      <c r="A704" t="s">
        <v>313</v>
      </c>
      <c r="B704">
        <v>42</v>
      </c>
      <c r="C704">
        <v>555</v>
      </c>
      <c r="D704" t="s">
        <v>11</v>
      </c>
      <c r="E704" t="s">
        <v>1498</v>
      </c>
      <c r="F704" t="s">
        <v>1499</v>
      </c>
      <c r="G704">
        <v>77</v>
      </c>
      <c r="H704">
        <v>3</v>
      </c>
      <c r="I704">
        <v>4</v>
      </c>
      <c r="J704" t="s">
        <v>1474</v>
      </c>
      <c r="K704" t="s">
        <v>1475</v>
      </c>
      <c r="L704">
        <v>2</v>
      </c>
      <c r="M704" t="s">
        <v>15</v>
      </c>
      <c r="N704">
        <v>5</v>
      </c>
      <c r="O704" t="s">
        <v>13</v>
      </c>
      <c r="P704">
        <v>23</v>
      </c>
      <c r="Q704" s="4">
        <v>45914</v>
      </c>
      <c r="R704" s="4"/>
      <c r="S704" t="str">
        <f>TEXT(Table1[[#This Row],[Hiring Date]],"mmmm")</f>
        <v>September</v>
      </c>
      <c r="T704" s="1">
        <f>COUNTIF(S:S,Table1[[#This Row],[Months List]])</f>
        <v>0</v>
      </c>
      <c r="U704" t="str">
        <f>TEXT(Table1[[#This Row],[Hiring Date]],"dddd")</f>
        <v>Sunday</v>
      </c>
      <c r="V704" s="1" t="str">
        <f>TEXT(Table1[[#This Row],[Hiring Date]],"yyyy")</f>
        <v>2025</v>
      </c>
    </row>
    <row r="705" spans="1:22">
      <c r="A705" t="s">
        <v>314</v>
      </c>
      <c r="B705">
        <v>18</v>
      </c>
      <c r="C705">
        <v>230</v>
      </c>
      <c r="D705" t="s">
        <v>14</v>
      </c>
      <c r="E705" t="s">
        <v>1497</v>
      </c>
      <c r="F705" t="s">
        <v>1496</v>
      </c>
      <c r="G705">
        <v>54</v>
      </c>
      <c r="H705">
        <v>3</v>
      </c>
      <c r="I705">
        <v>1</v>
      </c>
      <c r="J705" t="s">
        <v>1484</v>
      </c>
      <c r="K705" t="s">
        <v>1485</v>
      </c>
      <c r="L705">
        <v>3</v>
      </c>
      <c r="M705" t="s">
        <v>12</v>
      </c>
      <c r="N705">
        <v>1</v>
      </c>
      <c r="O705" t="s">
        <v>13</v>
      </c>
      <c r="P705">
        <v>0</v>
      </c>
      <c r="Q705" s="4">
        <v>45938</v>
      </c>
      <c r="R705" s="4"/>
      <c r="S705" t="str">
        <f>TEXT(Table1[[#This Row],[Hiring Date]],"mmmm")</f>
        <v>October</v>
      </c>
      <c r="T705" s="1">
        <f>COUNTIF(S:S,Table1[[#This Row],[Months List]])</f>
        <v>0</v>
      </c>
      <c r="U705" t="str">
        <f>TEXT(Table1[[#This Row],[Hiring Date]],"dddd")</f>
        <v>Wednesday</v>
      </c>
      <c r="V705" s="1" t="str">
        <f>TEXT(Table1[[#This Row],[Hiring Date]],"yyyy")</f>
        <v>2025</v>
      </c>
    </row>
    <row r="706" spans="1:22">
      <c r="A706" t="s">
        <v>315</v>
      </c>
      <c r="B706">
        <v>35</v>
      </c>
      <c r="C706">
        <v>1232</v>
      </c>
      <c r="D706" t="s">
        <v>11</v>
      </c>
      <c r="E706" t="s">
        <v>1498</v>
      </c>
      <c r="F706" t="s">
        <v>1496</v>
      </c>
      <c r="G706">
        <v>96</v>
      </c>
      <c r="H706">
        <v>3</v>
      </c>
      <c r="I706">
        <v>3</v>
      </c>
      <c r="J706" t="s">
        <v>1474</v>
      </c>
      <c r="K706" t="s">
        <v>1475</v>
      </c>
      <c r="L706">
        <v>2</v>
      </c>
      <c r="M706" t="s">
        <v>15</v>
      </c>
      <c r="N706">
        <v>0</v>
      </c>
      <c r="O706" t="s">
        <v>13</v>
      </c>
      <c r="P706">
        <v>12</v>
      </c>
      <c r="Q706" s="4">
        <v>45873</v>
      </c>
      <c r="R706" s="4"/>
      <c r="S706" t="str">
        <f>TEXT(Table1[[#This Row],[Hiring Date]],"mmmm")</f>
        <v>August</v>
      </c>
      <c r="T706" s="1">
        <f>COUNTIF(S:S,Table1[[#This Row],[Months List]])</f>
        <v>0</v>
      </c>
      <c r="U706" t="str">
        <f>TEXT(Table1[[#This Row],[Hiring Date]],"dddd")</f>
        <v>Monday</v>
      </c>
      <c r="V706" s="1" t="str">
        <f>TEXT(Table1[[#This Row],[Hiring Date]],"yyyy")</f>
        <v>2025</v>
      </c>
    </row>
    <row r="707" spans="1:22">
      <c r="A707" t="s">
        <v>316</v>
      </c>
      <c r="B707">
        <v>36</v>
      </c>
      <c r="C707">
        <v>566</v>
      </c>
      <c r="D707" t="s">
        <v>14</v>
      </c>
      <c r="E707" t="s">
        <v>1497</v>
      </c>
      <c r="F707" t="s">
        <v>1496</v>
      </c>
      <c r="G707">
        <v>81</v>
      </c>
      <c r="H707">
        <v>4</v>
      </c>
      <c r="I707">
        <v>1</v>
      </c>
      <c r="J707" t="s">
        <v>1484</v>
      </c>
      <c r="K707" t="s">
        <v>1485</v>
      </c>
      <c r="L707">
        <v>4</v>
      </c>
      <c r="M707" t="s">
        <v>15</v>
      </c>
      <c r="N707">
        <v>4</v>
      </c>
      <c r="O707" t="s">
        <v>13</v>
      </c>
      <c r="P707">
        <v>4</v>
      </c>
      <c r="Q707" s="4">
        <v>45640</v>
      </c>
      <c r="R707" s="4"/>
      <c r="S707" t="str">
        <f>TEXT(Table1[[#This Row],[Hiring Date]],"mmmm")</f>
        <v>December</v>
      </c>
      <c r="T707" s="1">
        <f>COUNTIF(S:S,Table1[[#This Row],[Months List]])</f>
        <v>0</v>
      </c>
      <c r="U707" t="str">
        <f>TEXT(Table1[[#This Row],[Hiring Date]],"dddd")</f>
        <v>Saturday</v>
      </c>
      <c r="V707" s="1" t="str">
        <f>TEXT(Table1[[#This Row],[Hiring Date]],"yyyy")</f>
        <v>2024</v>
      </c>
    </row>
    <row r="708" spans="1:22">
      <c r="A708" t="s">
        <v>38</v>
      </c>
      <c r="B708">
        <v>24</v>
      </c>
      <c r="C708">
        <v>673</v>
      </c>
      <c r="D708" t="s">
        <v>14</v>
      </c>
      <c r="E708" t="s">
        <v>1500</v>
      </c>
      <c r="F708" t="s">
        <v>1499</v>
      </c>
      <c r="G708">
        <v>96</v>
      </c>
      <c r="H708">
        <v>4</v>
      </c>
      <c r="I708">
        <v>2</v>
      </c>
      <c r="J708" t="s">
        <v>1480</v>
      </c>
      <c r="K708" t="s">
        <v>1481</v>
      </c>
      <c r="L708">
        <v>3</v>
      </c>
      <c r="M708" t="s">
        <v>16</v>
      </c>
      <c r="N708">
        <v>0</v>
      </c>
      <c r="O708" t="s">
        <v>13</v>
      </c>
      <c r="P708">
        <v>5</v>
      </c>
      <c r="Q708" s="4">
        <v>45714</v>
      </c>
      <c r="R708" s="4"/>
      <c r="S708" t="str">
        <f>TEXT(Table1[[#This Row],[Hiring Date]],"mmmm")</f>
        <v>February</v>
      </c>
      <c r="T708" s="1">
        <f>COUNTIF(S:S,Table1[[#This Row],[Months List]])</f>
        <v>0</v>
      </c>
      <c r="U708" t="str">
        <f>TEXT(Table1[[#This Row],[Hiring Date]],"dddd")</f>
        <v>Wednesday</v>
      </c>
      <c r="V708" s="1" t="str">
        <f>TEXT(Table1[[#This Row],[Hiring Date]],"yyyy")</f>
        <v>2025</v>
      </c>
    </row>
    <row r="709" spans="1:22">
      <c r="A709" t="s">
        <v>317</v>
      </c>
      <c r="B709">
        <v>51</v>
      </c>
      <c r="C709">
        <v>1302</v>
      </c>
      <c r="D709" t="s">
        <v>14</v>
      </c>
      <c r="E709" t="s">
        <v>1495</v>
      </c>
      <c r="F709" t="s">
        <v>1496</v>
      </c>
      <c r="G709">
        <v>84</v>
      </c>
      <c r="H709">
        <v>1</v>
      </c>
      <c r="I709">
        <v>2</v>
      </c>
      <c r="J709" t="s">
        <v>1480</v>
      </c>
      <c r="K709" t="s">
        <v>1481</v>
      </c>
      <c r="L709">
        <v>2</v>
      </c>
      <c r="M709" t="s">
        <v>16</v>
      </c>
      <c r="N709">
        <v>5</v>
      </c>
      <c r="O709" t="s">
        <v>13</v>
      </c>
      <c r="P709">
        <v>13</v>
      </c>
      <c r="Q709" s="4">
        <v>45953</v>
      </c>
      <c r="R709" s="4"/>
      <c r="S709" t="str">
        <f>TEXT(Table1[[#This Row],[Hiring Date]],"mmmm")</f>
        <v>October</v>
      </c>
      <c r="T709" s="1">
        <f>COUNTIF(S:S,Table1[[#This Row],[Months List]])</f>
        <v>0</v>
      </c>
      <c r="U709" t="str">
        <f>TEXT(Table1[[#This Row],[Hiring Date]],"dddd")</f>
        <v>Thursday</v>
      </c>
      <c r="V709" s="1" t="str">
        <f>TEXT(Table1[[#This Row],[Hiring Date]],"yyyy")</f>
        <v>2025</v>
      </c>
    </row>
    <row r="710" spans="1:22">
      <c r="A710" t="s">
        <v>318</v>
      </c>
      <c r="B710">
        <v>41</v>
      </c>
      <c r="C710">
        <v>334</v>
      </c>
      <c r="D710" t="s">
        <v>11</v>
      </c>
      <c r="E710" t="s">
        <v>1497</v>
      </c>
      <c r="F710" t="s">
        <v>1496</v>
      </c>
      <c r="G710">
        <v>88</v>
      </c>
      <c r="H710">
        <v>3</v>
      </c>
      <c r="I710">
        <v>4</v>
      </c>
      <c r="J710" t="s">
        <v>1482</v>
      </c>
      <c r="K710" t="s">
        <v>1483</v>
      </c>
      <c r="L710">
        <v>2</v>
      </c>
      <c r="M710" t="s">
        <v>12</v>
      </c>
      <c r="N710">
        <v>1</v>
      </c>
      <c r="O710" t="s">
        <v>13</v>
      </c>
      <c r="P710">
        <v>22</v>
      </c>
      <c r="Q710" s="4">
        <v>45720</v>
      </c>
      <c r="R710" s="4"/>
      <c r="S710" t="str">
        <f>TEXT(Table1[[#This Row],[Hiring Date]],"mmmm")</f>
        <v>March</v>
      </c>
      <c r="T710" s="1">
        <f>COUNTIF(S:S,Table1[[#This Row],[Months List]])</f>
        <v>0</v>
      </c>
      <c r="U710" t="str">
        <f>TEXT(Table1[[#This Row],[Hiring Date]],"dddd")</f>
        <v>Tuesday</v>
      </c>
      <c r="V710" s="1" t="str">
        <f>TEXT(Table1[[#This Row],[Hiring Date]],"yyyy")</f>
        <v>2025</v>
      </c>
    </row>
    <row r="711" spans="1:22">
      <c r="A711" t="s">
        <v>319</v>
      </c>
      <c r="B711">
        <v>18</v>
      </c>
      <c r="C711">
        <v>812</v>
      </c>
      <c r="D711" t="s">
        <v>11</v>
      </c>
      <c r="E711" t="s">
        <v>1495</v>
      </c>
      <c r="F711" t="s">
        <v>1499</v>
      </c>
      <c r="G711">
        <v>69</v>
      </c>
      <c r="H711">
        <v>2</v>
      </c>
      <c r="I711">
        <v>1</v>
      </c>
      <c r="J711" t="s">
        <v>1489</v>
      </c>
      <c r="K711" t="s">
        <v>1490</v>
      </c>
      <c r="L711">
        <v>3</v>
      </c>
      <c r="M711" t="s">
        <v>12</v>
      </c>
      <c r="N711">
        <v>1</v>
      </c>
      <c r="O711" t="s">
        <v>13</v>
      </c>
      <c r="P711">
        <v>0</v>
      </c>
      <c r="Q711" s="4">
        <v>45659</v>
      </c>
      <c r="R711" s="4"/>
      <c r="S711" t="str">
        <f>TEXT(Table1[[#This Row],[Hiring Date]],"mmmm")</f>
        <v>January</v>
      </c>
      <c r="T711" s="1">
        <f>COUNTIF(S:S,Table1[[#This Row],[Months List]])</f>
        <v>0</v>
      </c>
      <c r="U711" t="str">
        <f>TEXT(Table1[[#This Row],[Hiring Date]],"dddd")</f>
        <v>Thursday</v>
      </c>
      <c r="V711" s="1" t="str">
        <f>TEXT(Table1[[#This Row],[Hiring Date]],"yyyy")</f>
        <v>2025</v>
      </c>
    </row>
    <row r="712" spans="1:22">
      <c r="A712" t="s">
        <v>320</v>
      </c>
      <c r="B712">
        <v>28</v>
      </c>
      <c r="C712">
        <v>1476</v>
      </c>
      <c r="D712" t="s">
        <v>14</v>
      </c>
      <c r="E712" t="s">
        <v>1495</v>
      </c>
      <c r="F712" t="s">
        <v>1496</v>
      </c>
      <c r="G712">
        <v>68</v>
      </c>
      <c r="H712">
        <v>4</v>
      </c>
      <c r="I712">
        <v>2</v>
      </c>
      <c r="J712" t="s">
        <v>1478</v>
      </c>
      <c r="K712" t="s">
        <v>1479</v>
      </c>
      <c r="L712">
        <v>1</v>
      </c>
      <c r="M712" t="s">
        <v>12</v>
      </c>
      <c r="N712">
        <v>0</v>
      </c>
      <c r="O712" t="s">
        <v>13</v>
      </c>
      <c r="P712">
        <v>9</v>
      </c>
      <c r="Q712" s="4">
        <v>45749</v>
      </c>
      <c r="R712" s="4"/>
      <c r="S712" t="str">
        <f>TEXT(Table1[[#This Row],[Hiring Date]],"mmmm")</f>
        <v>April</v>
      </c>
      <c r="T712" s="1">
        <f>COUNTIF(S:S,Table1[[#This Row],[Months List]])</f>
        <v>0</v>
      </c>
      <c r="U712" t="str">
        <f>TEXT(Table1[[#This Row],[Hiring Date]],"dddd")</f>
        <v>Wednesday</v>
      </c>
      <c r="V712" s="1" t="str">
        <f>TEXT(Table1[[#This Row],[Hiring Date]],"yyyy")</f>
        <v>2025</v>
      </c>
    </row>
    <row r="713" spans="1:22">
      <c r="A713" t="s">
        <v>321</v>
      </c>
      <c r="B713">
        <v>31</v>
      </c>
      <c r="C713">
        <v>218</v>
      </c>
      <c r="D713" t="s">
        <v>11</v>
      </c>
      <c r="E713" t="s">
        <v>1501</v>
      </c>
      <c r="F713" t="s">
        <v>1496</v>
      </c>
      <c r="G713">
        <v>100</v>
      </c>
      <c r="H713">
        <v>4</v>
      </c>
      <c r="I713">
        <v>2</v>
      </c>
      <c r="J713" t="s">
        <v>1474</v>
      </c>
      <c r="K713" t="s">
        <v>1475</v>
      </c>
      <c r="L713">
        <v>4</v>
      </c>
      <c r="M713" t="s">
        <v>15</v>
      </c>
      <c r="N713">
        <v>4</v>
      </c>
      <c r="O713" t="s">
        <v>13</v>
      </c>
      <c r="P713">
        <v>10</v>
      </c>
      <c r="Q713" s="4">
        <v>45671</v>
      </c>
      <c r="R713" s="4"/>
      <c r="S713" t="str">
        <f>TEXT(Table1[[#This Row],[Hiring Date]],"mmmm")</f>
        <v>January</v>
      </c>
      <c r="T713" s="1">
        <f>COUNTIF(S:S,Table1[[#This Row],[Months List]])</f>
        <v>0</v>
      </c>
      <c r="U713" t="str">
        <f>TEXT(Table1[[#This Row],[Hiring Date]],"dddd")</f>
        <v>Tuesday</v>
      </c>
      <c r="V713" s="1" t="str">
        <f>TEXT(Table1[[#This Row],[Hiring Date]],"yyyy")</f>
        <v>2025</v>
      </c>
    </row>
    <row r="714" spans="1:22">
      <c r="A714" t="s">
        <v>322</v>
      </c>
      <c r="B714">
        <v>39</v>
      </c>
      <c r="C714">
        <v>1132</v>
      </c>
      <c r="D714" t="s">
        <v>14</v>
      </c>
      <c r="E714" t="s">
        <v>1495</v>
      </c>
      <c r="F714" t="s">
        <v>1496</v>
      </c>
      <c r="G714">
        <v>48</v>
      </c>
      <c r="H714">
        <v>4</v>
      </c>
      <c r="I714">
        <v>3</v>
      </c>
      <c r="J714" t="s">
        <v>1478</v>
      </c>
      <c r="K714" t="s">
        <v>1479</v>
      </c>
      <c r="L714">
        <v>4</v>
      </c>
      <c r="M714" t="s">
        <v>16</v>
      </c>
      <c r="N714">
        <v>0</v>
      </c>
      <c r="O714" t="s">
        <v>13</v>
      </c>
      <c r="P714">
        <v>19</v>
      </c>
      <c r="Q714" s="4">
        <v>45978</v>
      </c>
      <c r="R714" s="4"/>
      <c r="S714" t="str">
        <f>TEXT(Table1[[#This Row],[Hiring Date]],"mmmm")</f>
        <v>November</v>
      </c>
      <c r="T714" s="1">
        <f>COUNTIF(S:S,Table1[[#This Row],[Months List]])</f>
        <v>0</v>
      </c>
      <c r="U714" t="str">
        <f>TEXT(Table1[[#This Row],[Hiring Date]],"dddd")</f>
        <v>Monday</v>
      </c>
      <c r="V714" s="1" t="str">
        <f>TEXT(Table1[[#This Row],[Hiring Date]],"yyyy")</f>
        <v>2025</v>
      </c>
    </row>
    <row r="715" spans="1:22">
      <c r="A715" t="s">
        <v>323</v>
      </c>
      <c r="B715">
        <v>36</v>
      </c>
      <c r="C715">
        <v>1105</v>
      </c>
      <c r="D715" t="s">
        <v>14</v>
      </c>
      <c r="E715" t="s">
        <v>1497</v>
      </c>
      <c r="F715" t="s">
        <v>1499</v>
      </c>
      <c r="G715">
        <v>47</v>
      </c>
      <c r="H715">
        <v>3</v>
      </c>
      <c r="I715">
        <v>2</v>
      </c>
      <c r="J715" t="s">
        <v>1484</v>
      </c>
      <c r="K715" t="s">
        <v>1485</v>
      </c>
      <c r="L715">
        <v>2</v>
      </c>
      <c r="M715" t="s">
        <v>15</v>
      </c>
      <c r="N715">
        <v>7</v>
      </c>
      <c r="O715" t="s">
        <v>13</v>
      </c>
      <c r="P715">
        <v>11</v>
      </c>
      <c r="Q715" s="4">
        <v>45672</v>
      </c>
      <c r="R715" s="4"/>
      <c r="S715" t="str">
        <f>TEXT(Table1[[#This Row],[Hiring Date]],"mmmm")</f>
        <v>January</v>
      </c>
      <c r="T715" s="1">
        <f>COUNTIF(S:S,Table1[[#This Row],[Months List]])</f>
        <v>0</v>
      </c>
      <c r="U715" t="str">
        <f>TEXT(Table1[[#This Row],[Hiring Date]],"dddd")</f>
        <v>Wednesday</v>
      </c>
      <c r="V715" s="1" t="str">
        <f>TEXT(Table1[[#This Row],[Hiring Date]],"yyyy")</f>
        <v>2025</v>
      </c>
    </row>
    <row r="716" spans="1:22">
      <c r="A716" t="s">
        <v>324</v>
      </c>
      <c r="B716">
        <v>32</v>
      </c>
      <c r="C716">
        <v>906</v>
      </c>
      <c r="D716" t="s">
        <v>11</v>
      </c>
      <c r="E716" t="s">
        <v>1497</v>
      </c>
      <c r="F716" t="s">
        <v>1496</v>
      </c>
      <c r="G716">
        <v>91</v>
      </c>
      <c r="H716">
        <v>2</v>
      </c>
      <c r="I716">
        <v>2</v>
      </c>
      <c r="J716" t="s">
        <v>1474</v>
      </c>
      <c r="K716" t="s">
        <v>1475</v>
      </c>
      <c r="L716">
        <v>3</v>
      </c>
      <c r="M716" t="s">
        <v>15</v>
      </c>
      <c r="N716">
        <v>1</v>
      </c>
      <c r="O716" t="s">
        <v>13</v>
      </c>
      <c r="P716">
        <v>13</v>
      </c>
      <c r="Q716" s="4">
        <v>45828</v>
      </c>
      <c r="R716" s="4"/>
      <c r="S716" t="str">
        <f>TEXT(Table1[[#This Row],[Hiring Date]],"mmmm")</f>
        <v>June</v>
      </c>
      <c r="T716" s="1">
        <f>COUNTIF(S:S,Table1[[#This Row],[Months List]])</f>
        <v>0</v>
      </c>
      <c r="U716" t="str">
        <f>TEXT(Table1[[#This Row],[Hiring Date]],"dddd")</f>
        <v>Friday</v>
      </c>
      <c r="V716" s="1" t="str">
        <f>TEXT(Table1[[#This Row],[Hiring Date]],"yyyy")</f>
        <v>2025</v>
      </c>
    </row>
    <row r="717" spans="1:22">
      <c r="A717" t="s">
        <v>325</v>
      </c>
      <c r="B717">
        <v>38</v>
      </c>
      <c r="C717">
        <v>849</v>
      </c>
      <c r="D717" t="s">
        <v>14</v>
      </c>
      <c r="E717" t="s">
        <v>1497</v>
      </c>
      <c r="F717" t="s">
        <v>1499</v>
      </c>
      <c r="G717">
        <v>81</v>
      </c>
      <c r="H717">
        <v>2</v>
      </c>
      <c r="I717">
        <v>3</v>
      </c>
      <c r="J717" t="s">
        <v>1487</v>
      </c>
      <c r="K717" t="s">
        <v>1488</v>
      </c>
      <c r="L717">
        <v>2</v>
      </c>
      <c r="M717" t="s">
        <v>15</v>
      </c>
      <c r="N717">
        <v>3</v>
      </c>
      <c r="O717" t="s">
        <v>13</v>
      </c>
      <c r="P717">
        <v>19</v>
      </c>
      <c r="Q717" s="4">
        <v>45786</v>
      </c>
      <c r="R717" s="4"/>
      <c r="S717" t="str">
        <f>TEXT(Table1[[#This Row],[Hiring Date]],"mmmm")</f>
        <v>May</v>
      </c>
      <c r="T717" s="1">
        <f>COUNTIF(S:S,Table1[[#This Row],[Months List]])</f>
        <v>0</v>
      </c>
      <c r="U717" t="str">
        <f>TEXT(Table1[[#This Row],[Hiring Date]],"dddd")</f>
        <v>Friday</v>
      </c>
      <c r="V717" s="1" t="str">
        <f>TEXT(Table1[[#This Row],[Hiring Date]],"yyyy")</f>
        <v>2025</v>
      </c>
    </row>
    <row r="718" spans="1:22">
      <c r="A718" t="s">
        <v>326</v>
      </c>
      <c r="B718">
        <v>58</v>
      </c>
      <c r="C718">
        <v>390</v>
      </c>
      <c r="D718" t="s">
        <v>14</v>
      </c>
      <c r="E718" t="s">
        <v>1497</v>
      </c>
      <c r="F718" t="s">
        <v>1496</v>
      </c>
      <c r="G718">
        <v>32</v>
      </c>
      <c r="H718">
        <v>1</v>
      </c>
      <c r="I718">
        <v>2</v>
      </c>
      <c r="J718" t="s">
        <v>1478</v>
      </c>
      <c r="K718" t="s">
        <v>1479</v>
      </c>
      <c r="L718">
        <v>3</v>
      </c>
      <c r="M718" t="s">
        <v>16</v>
      </c>
      <c r="N718">
        <v>2</v>
      </c>
      <c r="O718" t="s">
        <v>10</v>
      </c>
      <c r="P718">
        <v>12</v>
      </c>
      <c r="Q718" s="4">
        <v>45726</v>
      </c>
      <c r="R718" s="4"/>
      <c r="S718" t="str">
        <f>TEXT(Table1[[#This Row],[Hiring Date]],"mmmm")</f>
        <v>March</v>
      </c>
      <c r="T718" s="1">
        <f>COUNTIF(S:S,Table1[[#This Row],[Months List]])</f>
        <v>0</v>
      </c>
      <c r="U718" t="str">
        <f>TEXT(Table1[[#This Row],[Hiring Date]],"dddd")</f>
        <v>Monday</v>
      </c>
      <c r="V718" s="1" t="str">
        <f>TEXT(Table1[[#This Row],[Hiring Date]],"yyyy")</f>
        <v>2025</v>
      </c>
    </row>
    <row r="719" spans="1:22">
      <c r="A719" t="s">
        <v>39</v>
      </c>
      <c r="B719">
        <v>36</v>
      </c>
      <c r="C719">
        <v>1218</v>
      </c>
      <c r="D719" t="s">
        <v>11</v>
      </c>
      <c r="E719" t="s">
        <v>1497</v>
      </c>
      <c r="F719" t="s">
        <v>1496</v>
      </c>
      <c r="G719">
        <v>82</v>
      </c>
      <c r="H719">
        <v>2</v>
      </c>
      <c r="I719">
        <v>1</v>
      </c>
      <c r="J719" t="s">
        <v>1489</v>
      </c>
      <c r="K719" t="s">
        <v>1490</v>
      </c>
      <c r="L719">
        <v>1</v>
      </c>
      <c r="M719" t="s">
        <v>12</v>
      </c>
      <c r="N719">
        <v>7</v>
      </c>
      <c r="O719" t="s">
        <v>13</v>
      </c>
      <c r="P719">
        <v>10</v>
      </c>
      <c r="Q719" s="4">
        <v>45962</v>
      </c>
      <c r="R719" s="4"/>
      <c r="S719" t="str">
        <f>TEXT(Table1[[#This Row],[Hiring Date]],"mmmm")</f>
        <v>November</v>
      </c>
      <c r="T719" s="1">
        <f>COUNTIF(S:S,Table1[[#This Row],[Months List]])</f>
        <v>0</v>
      </c>
      <c r="U719" t="str">
        <f>TEXT(Table1[[#This Row],[Hiring Date]],"dddd")</f>
        <v>Saturday</v>
      </c>
      <c r="V719" s="1" t="str">
        <f>TEXT(Table1[[#This Row],[Hiring Date]],"yyyy")</f>
        <v>2025</v>
      </c>
    </row>
    <row r="720" spans="1:22">
      <c r="A720" t="s">
        <v>327</v>
      </c>
      <c r="B720">
        <v>31</v>
      </c>
      <c r="C720">
        <v>691</v>
      </c>
      <c r="D720" t="s">
        <v>14</v>
      </c>
      <c r="E720" t="s">
        <v>1501</v>
      </c>
      <c r="F720" t="s">
        <v>1496</v>
      </c>
      <c r="G720">
        <v>86</v>
      </c>
      <c r="H720">
        <v>3</v>
      </c>
      <c r="I720">
        <v>1</v>
      </c>
      <c r="J720" t="s">
        <v>1476</v>
      </c>
      <c r="K720" t="s">
        <v>1477</v>
      </c>
      <c r="L720">
        <v>4</v>
      </c>
      <c r="M720" t="s">
        <v>15</v>
      </c>
      <c r="N720">
        <v>0</v>
      </c>
      <c r="O720" t="s">
        <v>10</v>
      </c>
      <c r="P720">
        <v>6</v>
      </c>
      <c r="Q720" s="4">
        <v>45950</v>
      </c>
      <c r="R720" s="4"/>
      <c r="S720" t="str">
        <f>TEXT(Table1[[#This Row],[Hiring Date]],"mmmm")</f>
        <v>October</v>
      </c>
      <c r="T720" s="1">
        <f>COUNTIF(S:S,Table1[[#This Row],[Months List]])</f>
        <v>0</v>
      </c>
      <c r="U720" t="str">
        <f>TEXT(Table1[[#This Row],[Hiring Date]],"dddd")</f>
        <v>Monday</v>
      </c>
      <c r="V720" s="1" t="str">
        <f>TEXT(Table1[[#This Row],[Hiring Date]],"yyyy")</f>
        <v>2025</v>
      </c>
    </row>
    <row r="721" spans="1:22">
      <c r="A721" t="s">
        <v>328</v>
      </c>
      <c r="B721">
        <v>31</v>
      </c>
      <c r="C721">
        <v>106</v>
      </c>
      <c r="D721" t="s">
        <v>17</v>
      </c>
      <c r="E721" t="s">
        <v>17</v>
      </c>
      <c r="F721" t="s">
        <v>1496</v>
      </c>
      <c r="G721">
        <v>62</v>
      </c>
      <c r="H721">
        <v>2</v>
      </c>
      <c r="I721">
        <v>2</v>
      </c>
      <c r="J721" t="s">
        <v>1486</v>
      </c>
      <c r="K721" t="s">
        <v>17</v>
      </c>
      <c r="L721">
        <v>1</v>
      </c>
      <c r="M721" t="s">
        <v>15</v>
      </c>
      <c r="N721">
        <v>3</v>
      </c>
      <c r="O721" t="s">
        <v>13</v>
      </c>
      <c r="P721">
        <v>9</v>
      </c>
      <c r="Q721" s="4">
        <v>45993</v>
      </c>
      <c r="R721" s="4"/>
      <c r="S721" t="str">
        <f>TEXT(Table1[[#This Row],[Hiring Date]],"mmmm")</f>
        <v>December</v>
      </c>
      <c r="T721" s="1">
        <f>COUNTIF(S:S,Table1[[#This Row],[Months List]])</f>
        <v>0</v>
      </c>
      <c r="U721" t="str">
        <f>TEXT(Table1[[#This Row],[Hiring Date]],"dddd")</f>
        <v>Tuesday</v>
      </c>
      <c r="V721" s="1" t="str">
        <f>TEXT(Table1[[#This Row],[Hiring Date]],"yyyy")</f>
        <v>2025</v>
      </c>
    </row>
    <row r="722" spans="1:22">
      <c r="A722" t="s">
        <v>329</v>
      </c>
      <c r="B722">
        <v>45</v>
      </c>
      <c r="C722">
        <v>1249</v>
      </c>
      <c r="D722" t="s">
        <v>14</v>
      </c>
      <c r="E722" t="s">
        <v>1497</v>
      </c>
      <c r="F722" t="s">
        <v>1496</v>
      </c>
      <c r="G722">
        <v>97</v>
      </c>
      <c r="H722">
        <v>3</v>
      </c>
      <c r="I722">
        <v>3</v>
      </c>
      <c r="J722" t="s">
        <v>1484</v>
      </c>
      <c r="K722" t="s">
        <v>1485</v>
      </c>
      <c r="L722">
        <v>1</v>
      </c>
      <c r="M722" t="s">
        <v>16</v>
      </c>
      <c r="N722">
        <v>1</v>
      </c>
      <c r="O722" t="s">
        <v>13</v>
      </c>
      <c r="P722">
        <v>24</v>
      </c>
      <c r="Q722" s="4">
        <v>45944</v>
      </c>
      <c r="R722" s="4"/>
      <c r="S722" t="str">
        <f>TEXT(Table1[[#This Row],[Hiring Date]],"mmmm")</f>
        <v>October</v>
      </c>
      <c r="T722" s="1">
        <f>COUNTIF(S:S,Table1[[#This Row],[Months List]])</f>
        <v>0</v>
      </c>
      <c r="U722" t="str">
        <f>TEXT(Table1[[#This Row],[Hiring Date]],"dddd")</f>
        <v>Tuesday</v>
      </c>
      <c r="V722" s="1" t="str">
        <f>TEXT(Table1[[#This Row],[Hiring Date]],"yyyy")</f>
        <v>2025</v>
      </c>
    </row>
    <row r="723" spans="1:22">
      <c r="A723" t="s">
        <v>330</v>
      </c>
      <c r="B723">
        <v>31</v>
      </c>
      <c r="C723">
        <v>192</v>
      </c>
      <c r="D723" t="s">
        <v>14</v>
      </c>
      <c r="E723" t="s">
        <v>1497</v>
      </c>
      <c r="F723" t="s">
        <v>1496</v>
      </c>
      <c r="G723">
        <v>32</v>
      </c>
      <c r="H723">
        <v>3</v>
      </c>
      <c r="I723">
        <v>1</v>
      </c>
      <c r="J723" t="s">
        <v>1476</v>
      </c>
      <c r="K723" t="s">
        <v>1477</v>
      </c>
      <c r="L723">
        <v>4</v>
      </c>
      <c r="M723" t="s">
        <v>16</v>
      </c>
      <c r="N723">
        <v>0</v>
      </c>
      <c r="O723" t="s">
        <v>10</v>
      </c>
      <c r="P723">
        <v>3</v>
      </c>
      <c r="Q723" s="4">
        <v>45781</v>
      </c>
      <c r="R723" s="4"/>
      <c r="S723" t="str">
        <f>TEXT(Table1[[#This Row],[Hiring Date]],"mmmm")</f>
        <v>May</v>
      </c>
      <c r="T723" s="1">
        <f>COUNTIF(S:S,Table1[[#This Row],[Months List]])</f>
        <v>0</v>
      </c>
      <c r="U723" t="str">
        <f>TEXT(Table1[[#This Row],[Hiring Date]],"dddd")</f>
        <v>Sunday</v>
      </c>
      <c r="V723" s="1" t="str">
        <f>TEXT(Table1[[#This Row],[Hiring Date]],"yyyy")</f>
        <v>2025</v>
      </c>
    </row>
    <row r="724" spans="1:22">
      <c r="A724" t="s">
        <v>331</v>
      </c>
      <c r="B724">
        <v>33</v>
      </c>
      <c r="C724">
        <v>553</v>
      </c>
      <c r="D724" t="s">
        <v>14</v>
      </c>
      <c r="E724" t="s">
        <v>1497</v>
      </c>
      <c r="F724" t="s">
        <v>1499</v>
      </c>
      <c r="G724">
        <v>74</v>
      </c>
      <c r="H724">
        <v>3</v>
      </c>
      <c r="I724">
        <v>3</v>
      </c>
      <c r="J724" t="s">
        <v>1482</v>
      </c>
      <c r="K724" t="s">
        <v>1483</v>
      </c>
      <c r="L724">
        <v>2</v>
      </c>
      <c r="M724" t="s">
        <v>15</v>
      </c>
      <c r="N724">
        <v>6</v>
      </c>
      <c r="O724" t="s">
        <v>13</v>
      </c>
      <c r="P724">
        <v>12</v>
      </c>
      <c r="Q724" s="4">
        <v>45992</v>
      </c>
      <c r="R724" s="4"/>
      <c r="S724" t="str">
        <f>TEXT(Table1[[#This Row],[Hiring Date]],"mmmm")</f>
        <v>December</v>
      </c>
      <c r="T724" s="1">
        <f>COUNTIF(S:S,Table1[[#This Row],[Months List]])</f>
        <v>0</v>
      </c>
      <c r="U724" t="str">
        <f>TEXT(Table1[[#This Row],[Hiring Date]],"dddd")</f>
        <v>Monday</v>
      </c>
      <c r="V724" s="1" t="str">
        <f>TEXT(Table1[[#This Row],[Hiring Date]],"yyyy")</f>
        <v>2025</v>
      </c>
    </row>
    <row r="725" spans="1:22">
      <c r="A725" t="s">
        <v>332</v>
      </c>
      <c r="B725">
        <v>39</v>
      </c>
      <c r="C725">
        <v>117</v>
      </c>
      <c r="D725" t="s">
        <v>14</v>
      </c>
      <c r="E725" t="s">
        <v>1495</v>
      </c>
      <c r="F725" t="s">
        <v>1496</v>
      </c>
      <c r="G725">
        <v>99</v>
      </c>
      <c r="H725">
        <v>3</v>
      </c>
      <c r="I725">
        <v>4</v>
      </c>
      <c r="J725" t="s">
        <v>1482</v>
      </c>
      <c r="K725" t="s">
        <v>1483</v>
      </c>
      <c r="L725">
        <v>1</v>
      </c>
      <c r="M725" t="s">
        <v>15</v>
      </c>
      <c r="N725">
        <v>1</v>
      </c>
      <c r="O725" t="s">
        <v>10</v>
      </c>
      <c r="P725">
        <v>21</v>
      </c>
      <c r="Q725" s="4">
        <v>45742</v>
      </c>
      <c r="R725" s="4"/>
      <c r="S725" t="str">
        <f>TEXT(Table1[[#This Row],[Hiring Date]],"mmmm")</f>
        <v>March</v>
      </c>
      <c r="T725" s="1">
        <f>COUNTIF(S:S,Table1[[#This Row],[Months List]])</f>
        <v>0</v>
      </c>
      <c r="U725" t="str">
        <f>TEXT(Table1[[#This Row],[Hiring Date]],"dddd")</f>
        <v>Wednesday</v>
      </c>
      <c r="V725" s="1" t="str">
        <f>TEXT(Table1[[#This Row],[Hiring Date]],"yyyy")</f>
        <v>2025</v>
      </c>
    </row>
    <row r="726" spans="1:22">
      <c r="A726" t="s">
        <v>333</v>
      </c>
      <c r="B726">
        <v>43</v>
      </c>
      <c r="C726">
        <v>185</v>
      </c>
      <c r="D726" t="s">
        <v>14</v>
      </c>
      <c r="E726" t="s">
        <v>1497</v>
      </c>
      <c r="F726" t="s">
        <v>1499</v>
      </c>
      <c r="G726">
        <v>33</v>
      </c>
      <c r="H726">
        <v>3</v>
      </c>
      <c r="I726">
        <v>1</v>
      </c>
      <c r="J726" t="s">
        <v>1484</v>
      </c>
      <c r="K726" t="s">
        <v>1485</v>
      </c>
      <c r="L726">
        <v>4</v>
      </c>
      <c r="M726" t="s">
        <v>12</v>
      </c>
      <c r="N726">
        <v>0</v>
      </c>
      <c r="O726" t="s">
        <v>13</v>
      </c>
      <c r="P726">
        <v>9</v>
      </c>
      <c r="Q726" s="4">
        <v>45754</v>
      </c>
      <c r="R726" s="4"/>
      <c r="S726" t="str">
        <f>TEXT(Table1[[#This Row],[Hiring Date]],"mmmm")</f>
        <v>April</v>
      </c>
      <c r="T726" s="1">
        <f>COUNTIF(S:S,Table1[[#This Row],[Months List]])</f>
        <v>0</v>
      </c>
      <c r="U726" t="str">
        <f>TEXT(Table1[[#This Row],[Hiring Date]],"dddd")</f>
        <v>Monday</v>
      </c>
      <c r="V726" s="1" t="str">
        <f>TEXT(Table1[[#This Row],[Hiring Date]],"yyyy")</f>
        <v>2025</v>
      </c>
    </row>
    <row r="727" spans="1:22">
      <c r="A727" t="s">
        <v>334</v>
      </c>
      <c r="B727">
        <v>49</v>
      </c>
      <c r="C727">
        <v>1091</v>
      </c>
      <c r="D727" t="s">
        <v>14</v>
      </c>
      <c r="E727" t="s">
        <v>1501</v>
      </c>
      <c r="F727" t="s">
        <v>1499</v>
      </c>
      <c r="G727">
        <v>90</v>
      </c>
      <c r="H727">
        <v>2</v>
      </c>
      <c r="I727">
        <v>4</v>
      </c>
      <c r="J727" t="s">
        <v>1478</v>
      </c>
      <c r="K727" t="s">
        <v>1479</v>
      </c>
      <c r="L727">
        <v>3</v>
      </c>
      <c r="M727" t="s">
        <v>12</v>
      </c>
      <c r="N727">
        <v>7</v>
      </c>
      <c r="O727" t="s">
        <v>10</v>
      </c>
      <c r="P727">
        <v>25</v>
      </c>
      <c r="Q727" s="4">
        <v>45967</v>
      </c>
      <c r="R727" s="4"/>
      <c r="S727" t="str">
        <f>TEXT(Table1[[#This Row],[Hiring Date]],"mmmm")</f>
        <v>November</v>
      </c>
      <c r="T727" s="1">
        <f>COUNTIF(S:S,Table1[[#This Row],[Months List]])</f>
        <v>0</v>
      </c>
      <c r="U727" t="str">
        <f>TEXT(Table1[[#This Row],[Hiring Date]],"dddd")</f>
        <v>Thursday</v>
      </c>
      <c r="V727" s="1" t="str">
        <f>TEXT(Table1[[#This Row],[Hiring Date]],"yyyy")</f>
        <v>2025</v>
      </c>
    </row>
    <row r="728" spans="1:22">
      <c r="A728" t="s">
        <v>335</v>
      </c>
      <c r="B728">
        <v>52</v>
      </c>
      <c r="C728">
        <v>723</v>
      </c>
      <c r="D728" t="s">
        <v>14</v>
      </c>
      <c r="E728" t="s">
        <v>1495</v>
      </c>
      <c r="F728" t="s">
        <v>1496</v>
      </c>
      <c r="G728">
        <v>85</v>
      </c>
      <c r="H728">
        <v>2</v>
      </c>
      <c r="I728">
        <v>2</v>
      </c>
      <c r="J728" t="s">
        <v>1476</v>
      </c>
      <c r="K728" t="s">
        <v>1477</v>
      </c>
      <c r="L728">
        <v>2</v>
      </c>
      <c r="M728" t="s">
        <v>15</v>
      </c>
      <c r="N728">
        <v>2</v>
      </c>
      <c r="O728" t="s">
        <v>13</v>
      </c>
      <c r="P728">
        <v>11</v>
      </c>
      <c r="Q728" s="4">
        <v>45894</v>
      </c>
      <c r="R728" s="4"/>
      <c r="S728" t="str">
        <f>TEXT(Table1[[#This Row],[Hiring Date]],"mmmm")</f>
        <v>August</v>
      </c>
      <c r="T728" s="1">
        <f>COUNTIF(S:S,Table1[[#This Row],[Months List]])</f>
        <v>0</v>
      </c>
      <c r="U728" t="str">
        <f>TEXT(Table1[[#This Row],[Hiring Date]],"dddd")</f>
        <v>Monday</v>
      </c>
      <c r="V728" s="1" t="str">
        <f>TEXT(Table1[[#This Row],[Hiring Date]],"yyyy")</f>
        <v>2025</v>
      </c>
    </row>
    <row r="729" spans="1:22">
      <c r="A729" t="s">
        <v>336</v>
      </c>
      <c r="B729">
        <v>27</v>
      </c>
      <c r="C729">
        <v>1220</v>
      </c>
      <c r="D729" t="s">
        <v>14</v>
      </c>
      <c r="E729" t="s">
        <v>1497</v>
      </c>
      <c r="F729" t="s">
        <v>1499</v>
      </c>
      <c r="G729">
        <v>85</v>
      </c>
      <c r="H729">
        <v>3</v>
      </c>
      <c r="I729">
        <v>1</v>
      </c>
      <c r="J729" t="s">
        <v>1476</v>
      </c>
      <c r="K729" t="s">
        <v>1477</v>
      </c>
      <c r="L729">
        <v>2</v>
      </c>
      <c r="M729" t="s">
        <v>12</v>
      </c>
      <c r="N729">
        <v>1</v>
      </c>
      <c r="O729" t="s">
        <v>10</v>
      </c>
      <c r="P729">
        <v>4</v>
      </c>
      <c r="Q729" s="4">
        <v>45773</v>
      </c>
      <c r="R729" s="4"/>
      <c r="S729" t="str">
        <f>TEXT(Table1[[#This Row],[Hiring Date]],"mmmm")</f>
        <v>April</v>
      </c>
      <c r="T729" s="1">
        <f>COUNTIF(S:S,Table1[[#This Row],[Months List]])</f>
        <v>0</v>
      </c>
      <c r="U729" t="str">
        <f>TEXT(Table1[[#This Row],[Hiring Date]],"dddd")</f>
        <v>Saturday</v>
      </c>
      <c r="V729" s="1" t="str">
        <f>TEXT(Table1[[#This Row],[Hiring Date]],"yyyy")</f>
        <v>2025</v>
      </c>
    </row>
    <row r="730" spans="1:22">
      <c r="A730" t="s">
        <v>40</v>
      </c>
      <c r="B730">
        <v>34</v>
      </c>
      <c r="C730">
        <v>419</v>
      </c>
      <c r="D730" t="s">
        <v>14</v>
      </c>
      <c r="E730" t="s">
        <v>1497</v>
      </c>
      <c r="F730" t="s">
        <v>1499</v>
      </c>
      <c r="G730">
        <v>53</v>
      </c>
      <c r="H730">
        <v>3</v>
      </c>
      <c r="I730">
        <v>3</v>
      </c>
      <c r="J730" t="s">
        <v>1487</v>
      </c>
      <c r="K730" t="s">
        <v>1488</v>
      </c>
      <c r="L730">
        <v>2</v>
      </c>
      <c r="M730" t="s">
        <v>12</v>
      </c>
      <c r="N730">
        <v>0</v>
      </c>
      <c r="O730" t="s">
        <v>13</v>
      </c>
      <c r="P730">
        <v>13</v>
      </c>
      <c r="Q730" s="4">
        <v>45642</v>
      </c>
      <c r="R730" s="4"/>
      <c r="S730" t="str">
        <f>TEXT(Table1[[#This Row],[Hiring Date]],"mmmm")</f>
        <v>December</v>
      </c>
      <c r="T730" s="1">
        <f>COUNTIF(S:S,Table1[[#This Row],[Months List]])</f>
        <v>0</v>
      </c>
      <c r="U730" t="str">
        <f>TEXT(Table1[[#This Row],[Hiring Date]],"dddd")</f>
        <v>Monday</v>
      </c>
      <c r="V730" s="1" t="str">
        <f>TEXT(Table1[[#This Row],[Hiring Date]],"yyyy")</f>
        <v>2024</v>
      </c>
    </row>
    <row r="731" spans="1:22">
      <c r="A731" t="s">
        <v>337</v>
      </c>
      <c r="B731">
        <v>32</v>
      </c>
      <c r="C731">
        <v>588</v>
      </c>
      <c r="D731" t="s">
        <v>11</v>
      </c>
      <c r="E731" t="s">
        <v>1501</v>
      </c>
      <c r="F731" t="s">
        <v>1499</v>
      </c>
      <c r="G731">
        <v>65</v>
      </c>
      <c r="H731">
        <v>2</v>
      </c>
      <c r="I731">
        <v>2</v>
      </c>
      <c r="J731" t="s">
        <v>1474</v>
      </c>
      <c r="K731" t="s">
        <v>1475</v>
      </c>
      <c r="L731">
        <v>2</v>
      </c>
      <c r="M731" t="s">
        <v>15</v>
      </c>
      <c r="N731">
        <v>1</v>
      </c>
      <c r="O731" t="s">
        <v>10</v>
      </c>
      <c r="P731">
        <v>13</v>
      </c>
      <c r="Q731" s="4">
        <v>45738</v>
      </c>
      <c r="R731" s="4"/>
      <c r="S731" t="str">
        <f>TEXT(Table1[[#This Row],[Hiring Date]],"mmmm")</f>
        <v>March</v>
      </c>
      <c r="T731" s="1">
        <f>COUNTIF(S:S,Table1[[#This Row],[Months List]])</f>
        <v>0</v>
      </c>
      <c r="U731" t="str">
        <f>TEXT(Table1[[#This Row],[Hiring Date]],"dddd")</f>
        <v>Saturday</v>
      </c>
      <c r="V731" s="1" t="str">
        <f>TEXT(Table1[[#This Row],[Hiring Date]],"yyyy")</f>
        <v>2025</v>
      </c>
    </row>
    <row r="732" spans="1:22">
      <c r="A732" t="s">
        <v>338</v>
      </c>
      <c r="B732">
        <v>27</v>
      </c>
      <c r="C732">
        <v>1377</v>
      </c>
      <c r="D732" t="s">
        <v>11</v>
      </c>
      <c r="E732" t="s">
        <v>1497</v>
      </c>
      <c r="F732" t="s">
        <v>1496</v>
      </c>
      <c r="G732">
        <v>74</v>
      </c>
      <c r="H732">
        <v>3</v>
      </c>
      <c r="I732">
        <v>2</v>
      </c>
      <c r="J732" t="s">
        <v>1474</v>
      </c>
      <c r="K732" t="s">
        <v>1475</v>
      </c>
      <c r="L732">
        <v>3</v>
      </c>
      <c r="M732" t="s">
        <v>12</v>
      </c>
      <c r="N732">
        <v>1</v>
      </c>
      <c r="O732" t="s">
        <v>10</v>
      </c>
      <c r="P732">
        <v>5</v>
      </c>
      <c r="Q732" s="4">
        <v>45848</v>
      </c>
      <c r="R732" s="4"/>
      <c r="S732" t="str">
        <f>TEXT(Table1[[#This Row],[Hiring Date]],"mmmm")</f>
        <v>July</v>
      </c>
      <c r="T732" s="1">
        <f>COUNTIF(S:S,Table1[[#This Row],[Months List]])</f>
        <v>0</v>
      </c>
      <c r="U732" t="str">
        <f>TEXT(Table1[[#This Row],[Hiring Date]],"dddd")</f>
        <v>Thursday</v>
      </c>
      <c r="V732" s="1" t="str">
        <f>TEXT(Table1[[#This Row],[Hiring Date]],"yyyy")</f>
        <v>2025</v>
      </c>
    </row>
    <row r="733" spans="1:22">
      <c r="A733" t="s">
        <v>339</v>
      </c>
      <c r="B733">
        <v>31</v>
      </c>
      <c r="C733">
        <v>691</v>
      </c>
      <c r="D733" t="s">
        <v>11</v>
      </c>
      <c r="E733" t="s">
        <v>1498</v>
      </c>
      <c r="F733" t="s">
        <v>1496</v>
      </c>
      <c r="G733">
        <v>73</v>
      </c>
      <c r="H733">
        <v>3</v>
      </c>
      <c r="I733">
        <v>2</v>
      </c>
      <c r="J733" t="s">
        <v>1474</v>
      </c>
      <c r="K733" t="s">
        <v>1475</v>
      </c>
      <c r="L733">
        <v>4</v>
      </c>
      <c r="M733" t="s">
        <v>16</v>
      </c>
      <c r="N733">
        <v>4</v>
      </c>
      <c r="O733" t="s">
        <v>13</v>
      </c>
      <c r="P733">
        <v>13</v>
      </c>
      <c r="Q733" s="4">
        <v>45824</v>
      </c>
      <c r="R733" s="4"/>
      <c r="S733" t="str">
        <f>TEXT(Table1[[#This Row],[Hiring Date]],"mmmm")</f>
        <v>June</v>
      </c>
      <c r="T733" s="1">
        <f>COUNTIF(S:S,Table1[[#This Row],[Months List]])</f>
        <v>0</v>
      </c>
      <c r="U733" t="str">
        <f>TEXT(Table1[[#This Row],[Hiring Date]],"dddd")</f>
        <v>Monday</v>
      </c>
      <c r="V733" s="1" t="str">
        <f>TEXT(Table1[[#This Row],[Hiring Date]],"yyyy")</f>
        <v>2025</v>
      </c>
    </row>
    <row r="734" spans="1:22">
      <c r="A734" t="s">
        <v>340</v>
      </c>
      <c r="B734">
        <v>32</v>
      </c>
      <c r="C734">
        <v>1018</v>
      </c>
      <c r="D734" t="s">
        <v>14</v>
      </c>
      <c r="E734" t="s">
        <v>1495</v>
      </c>
      <c r="F734" t="s">
        <v>1499</v>
      </c>
      <c r="G734">
        <v>74</v>
      </c>
      <c r="H734">
        <v>4</v>
      </c>
      <c r="I734">
        <v>2</v>
      </c>
      <c r="J734" t="s">
        <v>1476</v>
      </c>
      <c r="K734" t="s">
        <v>1477</v>
      </c>
      <c r="L734">
        <v>4</v>
      </c>
      <c r="M734" t="s">
        <v>12</v>
      </c>
      <c r="N734">
        <v>7</v>
      </c>
      <c r="O734" t="s">
        <v>13</v>
      </c>
      <c r="P734">
        <v>10</v>
      </c>
      <c r="Q734" s="4">
        <v>45639</v>
      </c>
      <c r="R734" s="4"/>
      <c r="S734" t="str">
        <f>TEXT(Table1[[#This Row],[Hiring Date]],"mmmm")</f>
        <v>December</v>
      </c>
      <c r="T734" s="1">
        <f>COUNTIF(S:S,Table1[[#This Row],[Months List]])</f>
        <v>0</v>
      </c>
      <c r="U734" t="str">
        <f>TEXT(Table1[[#This Row],[Hiring Date]],"dddd")</f>
        <v>Friday</v>
      </c>
      <c r="V734" s="1" t="str">
        <f>TEXT(Table1[[#This Row],[Hiring Date]],"yyyy")</f>
        <v>2024</v>
      </c>
    </row>
    <row r="735" spans="1:22">
      <c r="A735" t="s">
        <v>341</v>
      </c>
      <c r="B735">
        <v>28</v>
      </c>
      <c r="C735">
        <v>1157</v>
      </c>
      <c r="D735" t="s">
        <v>14</v>
      </c>
      <c r="E735" t="s">
        <v>1495</v>
      </c>
      <c r="F735" t="s">
        <v>1496</v>
      </c>
      <c r="G735">
        <v>84</v>
      </c>
      <c r="H735">
        <v>1</v>
      </c>
      <c r="I735">
        <v>1</v>
      </c>
      <c r="J735" t="s">
        <v>1476</v>
      </c>
      <c r="K735" t="s">
        <v>1477</v>
      </c>
      <c r="L735">
        <v>4</v>
      </c>
      <c r="M735" t="s">
        <v>15</v>
      </c>
      <c r="N735">
        <v>5</v>
      </c>
      <c r="O735" t="s">
        <v>10</v>
      </c>
      <c r="P735">
        <v>5</v>
      </c>
      <c r="Q735" s="4">
        <v>45979</v>
      </c>
      <c r="R735" s="4"/>
      <c r="S735" t="str">
        <f>TEXT(Table1[[#This Row],[Hiring Date]],"mmmm")</f>
        <v>November</v>
      </c>
      <c r="T735" s="1">
        <f>COUNTIF(S:S,Table1[[#This Row],[Months List]])</f>
        <v>0</v>
      </c>
      <c r="U735" t="str">
        <f>TEXT(Table1[[#This Row],[Hiring Date]],"dddd")</f>
        <v>Tuesday</v>
      </c>
      <c r="V735" s="1" t="str">
        <f>TEXT(Table1[[#This Row],[Hiring Date]],"yyyy")</f>
        <v>2025</v>
      </c>
    </row>
    <row r="736" spans="1:22">
      <c r="A736" t="s">
        <v>342</v>
      </c>
      <c r="B736">
        <v>30</v>
      </c>
      <c r="C736">
        <v>1275</v>
      </c>
      <c r="D736" t="s">
        <v>14</v>
      </c>
      <c r="E736" t="s">
        <v>1495</v>
      </c>
      <c r="F736" t="s">
        <v>1499</v>
      </c>
      <c r="G736">
        <v>64</v>
      </c>
      <c r="H736">
        <v>3</v>
      </c>
      <c r="I736">
        <v>2</v>
      </c>
      <c r="J736" t="s">
        <v>1476</v>
      </c>
      <c r="K736" t="s">
        <v>1477</v>
      </c>
      <c r="L736">
        <v>4</v>
      </c>
      <c r="M736" t="s">
        <v>15</v>
      </c>
      <c r="N736">
        <v>1</v>
      </c>
      <c r="O736" t="s">
        <v>13</v>
      </c>
      <c r="P736">
        <v>11</v>
      </c>
      <c r="Q736" s="4">
        <v>45817</v>
      </c>
      <c r="R736" s="4"/>
      <c r="S736" t="str">
        <f>TEXT(Table1[[#This Row],[Hiring Date]],"mmmm")</f>
        <v>June</v>
      </c>
      <c r="T736" s="1">
        <f>COUNTIF(S:S,Table1[[#This Row],[Months List]])</f>
        <v>0</v>
      </c>
      <c r="U736" t="str">
        <f>TEXT(Table1[[#This Row],[Hiring Date]],"dddd")</f>
        <v>Monday</v>
      </c>
      <c r="V736" s="1" t="str">
        <f>TEXT(Table1[[#This Row],[Hiring Date]],"yyyy")</f>
        <v>2025</v>
      </c>
    </row>
    <row r="737" spans="1:22">
      <c r="A737" t="s">
        <v>343</v>
      </c>
      <c r="B737">
        <v>31</v>
      </c>
      <c r="C737">
        <v>798</v>
      </c>
      <c r="D737" t="s">
        <v>14</v>
      </c>
      <c r="E737" t="s">
        <v>1497</v>
      </c>
      <c r="F737" t="s">
        <v>1499</v>
      </c>
      <c r="G737">
        <v>48</v>
      </c>
      <c r="H737">
        <v>2</v>
      </c>
      <c r="I737">
        <v>3</v>
      </c>
      <c r="J737" t="s">
        <v>1480</v>
      </c>
      <c r="K737" t="s">
        <v>1481</v>
      </c>
      <c r="L737">
        <v>3</v>
      </c>
      <c r="M737" t="s">
        <v>15</v>
      </c>
      <c r="N737">
        <v>1</v>
      </c>
      <c r="O737" t="s">
        <v>13</v>
      </c>
      <c r="P737">
        <v>10</v>
      </c>
      <c r="Q737" s="4">
        <v>45687</v>
      </c>
      <c r="R737" s="4"/>
      <c r="S737" t="str">
        <f>TEXT(Table1[[#This Row],[Hiring Date]],"mmmm")</f>
        <v>January</v>
      </c>
      <c r="T737" s="1">
        <f>COUNTIF(S:S,Table1[[#This Row],[Months List]])</f>
        <v>0</v>
      </c>
      <c r="U737" t="str">
        <f>TEXT(Table1[[#This Row],[Hiring Date]],"dddd")</f>
        <v>Thursday</v>
      </c>
      <c r="V737" s="1" t="str">
        <f>TEXT(Table1[[#This Row],[Hiring Date]],"yyyy")</f>
        <v>2025</v>
      </c>
    </row>
    <row r="738" spans="1:22">
      <c r="A738" t="s">
        <v>344</v>
      </c>
      <c r="B738">
        <v>39</v>
      </c>
      <c r="C738">
        <v>672</v>
      </c>
      <c r="D738" t="s">
        <v>14</v>
      </c>
      <c r="E738" t="s">
        <v>1495</v>
      </c>
      <c r="F738" t="s">
        <v>1496</v>
      </c>
      <c r="G738">
        <v>54</v>
      </c>
      <c r="H738">
        <v>2</v>
      </c>
      <c r="I738">
        <v>5</v>
      </c>
      <c r="J738" t="s">
        <v>1482</v>
      </c>
      <c r="K738" t="s">
        <v>1483</v>
      </c>
      <c r="L738">
        <v>4</v>
      </c>
      <c r="M738" t="s">
        <v>15</v>
      </c>
      <c r="N738">
        <v>1</v>
      </c>
      <c r="O738" t="s">
        <v>13</v>
      </c>
      <c r="P738">
        <v>21</v>
      </c>
      <c r="Q738" s="4">
        <v>45938</v>
      </c>
      <c r="R738" s="4"/>
      <c r="S738" t="str">
        <f>TEXT(Table1[[#This Row],[Hiring Date]],"mmmm")</f>
        <v>October</v>
      </c>
      <c r="T738" s="1">
        <f>COUNTIF(S:S,Table1[[#This Row],[Months List]])</f>
        <v>0</v>
      </c>
      <c r="U738" t="str">
        <f>TEXT(Table1[[#This Row],[Hiring Date]],"dddd")</f>
        <v>Wednesday</v>
      </c>
      <c r="V738" s="1" t="str">
        <f>TEXT(Table1[[#This Row],[Hiring Date]],"yyyy")</f>
        <v>2025</v>
      </c>
    </row>
    <row r="739" spans="1:22">
      <c r="A739" t="s">
        <v>345</v>
      </c>
      <c r="B739">
        <v>39</v>
      </c>
      <c r="C739">
        <v>1162</v>
      </c>
      <c r="D739" t="s">
        <v>11</v>
      </c>
      <c r="E739" t="s">
        <v>1495</v>
      </c>
      <c r="F739" t="s">
        <v>1499</v>
      </c>
      <c r="G739">
        <v>41</v>
      </c>
      <c r="H739">
        <v>3</v>
      </c>
      <c r="I739">
        <v>2</v>
      </c>
      <c r="J739" t="s">
        <v>1474</v>
      </c>
      <c r="K739" t="s">
        <v>1475</v>
      </c>
      <c r="L739">
        <v>3</v>
      </c>
      <c r="M739" t="s">
        <v>15</v>
      </c>
      <c r="N739">
        <v>4</v>
      </c>
      <c r="O739" t="s">
        <v>10</v>
      </c>
      <c r="P739">
        <v>12</v>
      </c>
      <c r="Q739" s="4">
        <v>45976</v>
      </c>
      <c r="R739" s="4"/>
      <c r="S739" t="str">
        <f>TEXT(Table1[[#This Row],[Hiring Date]],"mmmm")</f>
        <v>November</v>
      </c>
      <c r="T739" s="1">
        <f>COUNTIF(S:S,Table1[[#This Row],[Months List]])</f>
        <v>0</v>
      </c>
      <c r="U739" t="str">
        <f>TEXT(Table1[[#This Row],[Hiring Date]],"dddd")</f>
        <v>Saturday</v>
      </c>
      <c r="V739" s="1" t="str">
        <f>TEXT(Table1[[#This Row],[Hiring Date]],"yyyy")</f>
        <v>2025</v>
      </c>
    </row>
    <row r="740" spans="1:22">
      <c r="A740" t="s">
        <v>346</v>
      </c>
      <c r="B740">
        <v>33</v>
      </c>
      <c r="C740">
        <v>508</v>
      </c>
      <c r="D740" t="s">
        <v>11</v>
      </c>
      <c r="E740" t="s">
        <v>1498</v>
      </c>
      <c r="F740" t="s">
        <v>1496</v>
      </c>
      <c r="G740">
        <v>46</v>
      </c>
      <c r="H740">
        <v>2</v>
      </c>
      <c r="I740">
        <v>2</v>
      </c>
      <c r="J740" t="s">
        <v>1474</v>
      </c>
      <c r="K740" t="s">
        <v>1475</v>
      </c>
      <c r="L740">
        <v>4</v>
      </c>
      <c r="M740" t="s">
        <v>12</v>
      </c>
      <c r="N740">
        <v>3</v>
      </c>
      <c r="O740" t="s">
        <v>13</v>
      </c>
      <c r="P740">
        <v>9</v>
      </c>
      <c r="Q740" s="4">
        <v>45807</v>
      </c>
      <c r="R740" s="4"/>
      <c r="S740" t="str">
        <f>TEXT(Table1[[#This Row],[Hiring Date]],"mmmm")</f>
        <v>May</v>
      </c>
      <c r="T740" s="1">
        <f>COUNTIF(S:S,Table1[[#This Row],[Months List]])</f>
        <v>0</v>
      </c>
      <c r="U740" t="str">
        <f>TEXT(Table1[[#This Row],[Hiring Date]],"dddd")</f>
        <v>Friday</v>
      </c>
      <c r="V740" s="1" t="str">
        <f>TEXT(Table1[[#This Row],[Hiring Date]],"yyyy")</f>
        <v>2025</v>
      </c>
    </row>
    <row r="741" spans="1:22">
      <c r="A741" t="s">
        <v>41</v>
      </c>
      <c r="B741">
        <v>21</v>
      </c>
      <c r="C741">
        <v>391</v>
      </c>
      <c r="D741" t="s">
        <v>14</v>
      </c>
      <c r="E741" t="s">
        <v>1497</v>
      </c>
      <c r="F741" t="s">
        <v>1496</v>
      </c>
      <c r="G741">
        <v>96</v>
      </c>
      <c r="H741">
        <v>3</v>
      </c>
      <c r="I741">
        <v>1</v>
      </c>
      <c r="J741" t="s">
        <v>1476</v>
      </c>
      <c r="K741" t="s">
        <v>1477</v>
      </c>
      <c r="L741">
        <v>4</v>
      </c>
      <c r="M741" t="s">
        <v>12</v>
      </c>
      <c r="N741">
        <v>1</v>
      </c>
      <c r="O741" t="s">
        <v>13</v>
      </c>
      <c r="P741">
        <v>0</v>
      </c>
      <c r="Q741" s="4">
        <v>45696</v>
      </c>
      <c r="R741" s="4"/>
      <c r="S741" t="str">
        <f>TEXT(Table1[[#This Row],[Hiring Date]],"mmmm")</f>
        <v>February</v>
      </c>
      <c r="T741" s="1">
        <f>COUNTIF(S:S,Table1[[#This Row],[Months List]])</f>
        <v>0</v>
      </c>
      <c r="U741" t="str">
        <f>TEXT(Table1[[#This Row],[Hiring Date]],"dddd")</f>
        <v>Saturday</v>
      </c>
      <c r="V741" s="1" t="str">
        <f>TEXT(Table1[[#This Row],[Hiring Date]],"yyyy")</f>
        <v>2025</v>
      </c>
    </row>
    <row r="742" spans="1:22">
      <c r="A742" t="s">
        <v>347</v>
      </c>
      <c r="B742">
        <v>47</v>
      </c>
      <c r="C742">
        <v>1482</v>
      </c>
      <c r="D742" t="s">
        <v>14</v>
      </c>
      <c r="E742" t="s">
        <v>1497</v>
      </c>
      <c r="F742" t="s">
        <v>1496</v>
      </c>
      <c r="G742">
        <v>42</v>
      </c>
      <c r="H742">
        <v>3</v>
      </c>
      <c r="I742">
        <v>5</v>
      </c>
      <c r="J742" t="s">
        <v>1487</v>
      </c>
      <c r="K742" t="s">
        <v>1488</v>
      </c>
      <c r="L742">
        <v>3</v>
      </c>
      <c r="M742" t="s">
        <v>15</v>
      </c>
      <c r="N742">
        <v>4</v>
      </c>
      <c r="O742" t="s">
        <v>13</v>
      </c>
      <c r="P742">
        <v>21</v>
      </c>
      <c r="Q742" s="4">
        <v>45762</v>
      </c>
      <c r="R742" s="4"/>
      <c r="S742" t="str">
        <f>TEXT(Table1[[#This Row],[Hiring Date]],"mmmm")</f>
        <v>April</v>
      </c>
      <c r="T742" s="1">
        <f>COUNTIF(S:S,Table1[[#This Row],[Months List]])</f>
        <v>0</v>
      </c>
      <c r="U742" t="str">
        <f>TEXT(Table1[[#This Row],[Hiring Date]],"dddd")</f>
        <v>Tuesday</v>
      </c>
      <c r="V742" s="1" t="str">
        <f>TEXT(Table1[[#This Row],[Hiring Date]],"yyyy")</f>
        <v>2025</v>
      </c>
    </row>
    <row r="743" spans="1:22">
      <c r="A743" t="s">
        <v>348</v>
      </c>
      <c r="B743">
        <v>43</v>
      </c>
      <c r="C743">
        <v>559</v>
      </c>
      <c r="D743" t="s">
        <v>14</v>
      </c>
      <c r="E743" t="s">
        <v>1497</v>
      </c>
      <c r="F743" t="s">
        <v>1499</v>
      </c>
      <c r="G743">
        <v>82</v>
      </c>
      <c r="H743">
        <v>2</v>
      </c>
      <c r="I743">
        <v>2</v>
      </c>
      <c r="J743" t="s">
        <v>1484</v>
      </c>
      <c r="K743" t="s">
        <v>1485</v>
      </c>
      <c r="L743">
        <v>3</v>
      </c>
      <c r="M743" t="s">
        <v>16</v>
      </c>
      <c r="N743">
        <v>1</v>
      </c>
      <c r="O743" t="s">
        <v>13</v>
      </c>
      <c r="P743">
        <v>9</v>
      </c>
      <c r="Q743" s="4">
        <v>45839</v>
      </c>
      <c r="R743" s="4"/>
      <c r="S743" t="str">
        <f>TEXT(Table1[[#This Row],[Hiring Date]],"mmmm")</f>
        <v>July</v>
      </c>
      <c r="T743" s="1">
        <f>COUNTIF(S:S,Table1[[#This Row],[Months List]])</f>
        <v>0</v>
      </c>
      <c r="U743" t="str">
        <f>TEXT(Table1[[#This Row],[Hiring Date]],"dddd")</f>
        <v>Tuesday</v>
      </c>
      <c r="V743" s="1" t="str">
        <f>TEXT(Table1[[#This Row],[Hiring Date]],"yyyy")</f>
        <v>2025</v>
      </c>
    </row>
    <row r="744" spans="1:22">
      <c r="A744" t="s">
        <v>349</v>
      </c>
      <c r="B744">
        <v>27</v>
      </c>
      <c r="C744">
        <v>210</v>
      </c>
      <c r="D744" t="s">
        <v>11</v>
      </c>
      <c r="E744" t="s">
        <v>1498</v>
      </c>
      <c r="F744" t="s">
        <v>1496</v>
      </c>
      <c r="G744">
        <v>73</v>
      </c>
      <c r="H744">
        <v>3</v>
      </c>
      <c r="I744">
        <v>2</v>
      </c>
      <c r="J744" t="s">
        <v>1474</v>
      </c>
      <c r="K744" t="s">
        <v>1475</v>
      </c>
      <c r="L744">
        <v>2</v>
      </c>
      <c r="M744" t="s">
        <v>15</v>
      </c>
      <c r="N744">
        <v>0</v>
      </c>
      <c r="O744" t="s">
        <v>10</v>
      </c>
      <c r="P744">
        <v>6</v>
      </c>
      <c r="Q744" s="4">
        <v>45732</v>
      </c>
      <c r="R744" s="4"/>
      <c r="S744" t="str">
        <f>TEXT(Table1[[#This Row],[Hiring Date]],"mmmm")</f>
        <v>March</v>
      </c>
      <c r="T744" s="1">
        <f>COUNTIF(S:S,Table1[[#This Row],[Months List]])</f>
        <v>0</v>
      </c>
      <c r="U744" t="str">
        <f>TEXT(Table1[[#This Row],[Hiring Date]],"dddd")</f>
        <v>Sunday</v>
      </c>
      <c r="V744" s="1" t="str">
        <f>TEXT(Table1[[#This Row],[Hiring Date]],"yyyy")</f>
        <v>2025</v>
      </c>
    </row>
    <row r="745" spans="1:22">
      <c r="A745" t="s">
        <v>350</v>
      </c>
      <c r="B745">
        <v>54</v>
      </c>
      <c r="C745">
        <v>928</v>
      </c>
      <c r="D745" t="s">
        <v>14</v>
      </c>
      <c r="E745" t="s">
        <v>1497</v>
      </c>
      <c r="F745" t="s">
        <v>1499</v>
      </c>
      <c r="G745">
        <v>31</v>
      </c>
      <c r="H745">
        <v>3</v>
      </c>
      <c r="I745">
        <v>2</v>
      </c>
      <c r="J745" t="s">
        <v>1476</v>
      </c>
      <c r="K745" t="s">
        <v>1477</v>
      </c>
      <c r="L745">
        <v>3</v>
      </c>
      <c r="M745" t="s">
        <v>12</v>
      </c>
      <c r="N745">
        <v>3</v>
      </c>
      <c r="O745" t="s">
        <v>13</v>
      </c>
      <c r="P745">
        <v>20</v>
      </c>
      <c r="Q745" s="4">
        <v>45683</v>
      </c>
      <c r="R745" s="4"/>
      <c r="S745" t="str">
        <f>TEXT(Table1[[#This Row],[Hiring Date]],"mmmm")</f>
        <v>January</v>
      </c>
      <c r="T745" s="1">
        <f>COUNTIF(S:S,Table1[[#This Row],[Months List]])</f>
        <v>0</v>
      </c>
      <c r="U745" t="str">
        <f>TEXT(Table1[[#This Row],[Hiring Date]],"dddd")</f>
        <v>Sunday</v>
      </c>
      <c r="V745" s="1" t="str">
        <f>TEXT(Table1[[#This Row],[Hiring Date]],"yyyy")</f>
        <v>2025</v>
      </c>
    </row>
    <row r="746" spans="1:22">
      <c r="A746" t="s">
        <v>351</v>
      </c>
      <c r="B746">
        <v>43</v>
      </c>
      <c r="C746">
        <v>1001</v>
      </c>
      <c r="D746" t="s">
        <v>14</v>
      </c>
      <c r="E746" t="s">
        <v>1497</v>
      </c>
      <c r="F746" t="s">
        <v>1499</v>
      </c>
      <c r="G746">
        <v>43</v>
      </c>
      <c r="H746">
        <v>3</v>
      </c>
      <c r="I746">
        <v>3</v>
      </c>
      <c r="J746" t="s">
        <v>1478</v>
      </c>
      <c r="K746" t="s">
        <v>1479</v>
      </c>
      <c r="L746">
        <v>1</v>
      </c>
      <c r="M746" t="s">
        <v>15</v>
      </c>
      <c r="N746">
        <v>8</v>
      </c>
      <c r="O746" t="s">
        <v>13</v>
      </c>
      <c r="P746">
        <v>10</v>
      </c>
      <c r="Q746" s="4">
        <v>45830</v>
      </c>
      <c r="R746" s="4"/>
      <c r="S746" t="str">
        <f>TEXT(Table1[[#This Row],[Hiring Date]],"mmmm")</f>
        <v>June</v>
      </c>
      <c r="T746" s="1">
        <f>COUNTIF(S:S,Table1[[#This Row],[Months List]])</f>
        <v>0</v>
      </c>
      <c r="U746" t="str">
        <f>TEXT(Table1[[#This Row],[Hiring Date]],"dddd")</f>
        <v>Sunday</v>
      </c>
      <c r="V746" s="1" t="str">
        <f>TEXT(Table1[[#This Row],[Hiring Date]],"yyyy")</f>
        <v>2025</v>
      </c>
    </row>
    <row r="747" spans="1:22">
      <c r="A747" t="s">
        <v>352</v>
      </c>
      <c r="B747">
        <v>45</v>
      </c>
      <c r="C747">
        <v>549</v>
      </c>
      <c r="D747" t="s">
        <v>14</v>
      </c>
      <c r="E747" t="s">
        <v>1500</v>
      </c>
      <c r="F747" t="s">
        <v>1496</v>
      </c>
      <c r="G747">
        <v>75</v>
      </c>
      <c r="H747">
        <v>3</v>
      </c>
      <c r="I747">
        <v>2</v>
      </c>
      <c r="J747" t="s">
        <v>1476</v>
      </c>
      <c r="K747" t="s">
        <v>1477</v>
      </c>
      <c r="L747">
        <v>4</v>
      </c>
      <c r="M747" t="s">
        <v>15</v>
      </c>
      <c r="N747">
        <v>9</v>
      </c>
      <c r="O747" t="s">
        <v>13</v>
      </c>
      <c r="P747">
        <v>12</v>
      </c>
      <c r="Q747" s="4">
        <v>45668</v>
      </c>
      <c r="R747" s="4"/>
      <c r="S747" t="str">
        <f>TEXT(Table1[[#This Row],[Hiring Date]],"mmmm")</f>
        <v>January</v>
      </c>
      <c r="T747" s="1">
        <f>COUNTIF(S:S,Table1[[#This Row],[Months List]])</f>
        <v>0</v>
      </c>
      <c r="U747" t="str">
        <f>TEXT(Table1[[#This Row],[Hiring Date]],"dddd")</f>
        <v>Saturday</v>
      </c>
      <c r="V747" s="1" t="str">
        <f>TEXT(Table1[[#This Row],[Hiring Date]],"yyyy")</f>
        <v>2025</v>
      </c>
    </row>
    <row r="748" spans="1:22">
      <c r="A748" t="s">
        <v>353</v>
      </c>
      <c r="B748">
        <v>40</v>
      </c>
      <c r="C748">
        <v>1124</v>
      </c>
      <c r="D748" t="s">
        <v>11</v>
      </c>
      <c r="E748" t="s">
        <v>1495</v>
      </c>
      <c r="F748" t="s">
        <v>1496</v>
      </c>
      <c r="G748">
        <v>57</v>
      </c>
      <c r="H748">
        <v>1</v>
      </c>
      <c r="I748">
        <v>2</v>
      </c>
      <c r="J748" t="s">
        <v>1474</v>
      </c>
      <c r="K748" t="s">
        <v>1475</v>
      </c>
      <c r="L748">
        <v>4</v>
      </c>
      <c r="M748" t="s">
        <v>15</v>
      </c>
      <c r="N748">
        <v>2</v>
      </c>
      <c r="O748" t="s">
        <v>10</v>
      </c>
      <c r="P748">
        <v>6</v>
      </c>
      <c r="Q748" s="4">
        <v>45840</v>
      </c>
      <c r="R748" s="4"/>
      <c r="S748" t="str">
        <f>TEXT(Table1[[#This Row],[Hiring Date]],"mmmm")</f>
        <v>July</v>
      </c>
      <c r="T748" s="1">
        <f>COUNTIF(S:S,Table1[[#This Row],[Months List]])</f>
        <v>0</v>
      </c>
      <c r="U748" t="str">
        <f>TEXT(Table1[[#This Row],[Hiring Date]],"dddd")</f>
        <v>Wednesday</v>
      </c>
      <c r="V748" s="1" t="str">
        <f>TEXT(Table1[[#This Row],[Hiring Date]],"yyyy")</f>
        <v>2025</v>
      </c>
    </row>
    <row r="749" spans="1:22">
      <c r="A749" t="s">
        <v>354</v>
      </c>
      <c r="B749">
        <v>29</v>
      </c>
      <c r="C749">
        <v>318</v>
      </c>
      <c r="D749" t="s">
        <v>14</v>
      </c>
      <c r="E749" t="s">
        <v>1500</v>
      </c>
      <c r="F749" t="s">
        <v>1496</v>
      </c>
      <c r="G749">
        <v>77</v>
      </c>
      <c r="H749">
        <v>1</v>
      </c>
      <c r="I749">
        <v>1</v>
      </c>
      <c r="J749" t="s">
        <v>1484</v>
      </c>
      <c r="K749" t="s">
        <v>1485</v>
      </c>
      <c r="L749">
        <v>1</v>
      </c>
      <c r="M749" t="s">
        <v>15</v>
      </c>
      <c r="N749">
        <v>1</v>
      </c>
      <c r="O749" t="s">
        <v>10</v>
      </c>
      <c r="P749">
        <v>7</v>
      </c>
      <c r="Q749" s="4">
        <v>45885</v>
      </c>
      <c r="R749" s="4"/>
      <c r="S749" t="str">
        <f>TEXT(Table1[[#This Row],[Hiring Date]],"mmmm")</f>
        <v>August</v>
      </c>
      <c r="T749" s="1">
        <f>COUNTIF(S:S,Table1[[#This Row],[Months List]])</f>
        <v>0</v>
      </c>
      <c r="U749" t="str">
        <f>TEXT(Table1[[#This Row],[Hiring Date]],"dddd")</f>
        <v>Saturday</v>
      </c>
      <c r="V749" s="1" t="str">
        <f>TEXT(Table1[[#This Row],[Hiring Date]],"yyyy")</f>
        <v>2025</v>
      </c>
    </row>
    <row r="750" spans="1:22">
      <c r="A750" t="s">
        <v>355</v>
      </c>
      <c r="B750">
        <v>29</v>
      </c>
      <c r="C750">
        <v>738</v>
      </c>
      <c r="D750" t="s">
        <v>14</v>
      </c>
      <c r="E750" t="s">
        <v>1500</v>
      </c>
      <c r="F750" t="s">
        <v>1496</v>
      </c>
      <c r="G750">
        <v>30</v>
      </c>
      <c r="H750">
        <v>2</v>
      </c>
      <c r="I750">
        <v>1</v>
      </c>
      <c r="J750" t="s">
        <v>1484</v>
      </c>
      <c r="K750" t="s">
        <v>1485</v>
      </c>
      <c r="L750">
        <v>4</v>
      </c>
      <c r="M750" t="s">
        <v>12</v>
      </c>
      <c r="N750">
        <v>0</v>
      </c>
      <c r="O750" t="s">
        <v>13</v>
      </c>
      <c r="P750">
        <v>4</v>
      </c>
      <c r="Q750" s="4">
        <v>45659</v>
      </c>
      <c r="R750" s="4"/>
      <c r="S750" t="str">
        <f>TEXT(Table1[[#This Row],[Hiring Date]],"mmmm")</f>
        <v>January</v>
      </c>
      <c r="T750" s="1">
        <f>COUNTIF(S:S,Table1[[#This Row],[Months List]])</f>
        <v>0</v>
      </c>
      <c r="U750" t="str">
        <f>TEXT(Table1[[#This Row],[Hiring Date]],"dddd")</f>
        <v>Thursday</v>
      </c>
      <c r="V750" s="1" t="str">
        <f>TEXT(Table1[[#This Row],[Hiring Date]],"yyyy")</f>
        <v>2025</v>
      </c>
    </row>
    <row r="751" spans="1:22">
      <c r="A751" t="s">
        <v>356</v>
      </c>
      <c r="B751">
        <v>30</v>
      </c>
      <c r="C751">
        <v>570</v>
      </c>
      <c r="D751" t="s">
        <v>11</v>
      </c>
      <c r="E751" t="s">
        <v>1498</v>
      </c>
      <c r="F751" t="s">
        <v>1499</v>
      </c>
      <c r="G751">
        <v>30</v>
      </c>
      <c r="H751">
        <v>2</v>
      </c>
      <c r="I751">
        <v>2</v>
      </c>
      <c r="J751" t="s">
        <v>1474</v>
      </c>
      <c r="K751" t="s">
        <v>1475</v>
      </c>
      <c r="L751">
        <v>3</v>
      </c>
      <c r="M751" t="s">
        <v>16</v>
      </c>
      <c r="N751">
        <v>1</v>
      </c>
      <c r="O751" t="s">
        <v>13</v>
      </c>
      <c r="P751">
        <v>10</v>
      </c>
      <c r="Q751" s="4">
        <v>45664</v>
      </c>
      <c r="R751" s="4"/>
      <c r="S751" t="str">
        <f>TEXT(Table1[[#This Row],[Hiring Date]],"mmmm")</f>
        <v>January</v>
      </c>
      <c r="T751" s="1">
        <f>COUNTIF(S:S,Table1[[#This Row],[Months List]])</f>
        <v>0</v>
      </c>
      <c r="U751" t="str">
        <f>TEXT(Table1[[#This Row],[Hiring Date]],"dddd")</f>
        <v>Tuesday</v>
      </c>
      <c r="V751" s="1" t="str">
        <f>TEXT(Table1[[#This Row],[Hiring Date]],"yyyy")</f>
        <v>2025</v>
      </c>
    </row>
    <row r="752" spans="1:22">
      <c r="A752" t="s">
        <v>42</v>
      </c>
      <c r="B752">
        <v>34</v>
      </c>
      <c r="C752">
        <v>699</v>
      </c>
      <c r="D752" t="s">
        <v>14</v>
      </c>
      <c r="E752" t="s">
        <v>1495</v>
      </c>
      <c r="F752" t="s">
        <v>1496</v>
      </c>
      <c r="G752">
        <v>83</v>
      </c>
      <c r="H752">
        <v>3</v>
      </c>
      <c r="I752">
        <v>1</v>
      </c>
      <c r="J752" t="s">
        <v>1476</v>
      </c>
      <c r="K752" t="s">
        <v>1477</v>
      </c>
      <c r="L752">
        <v>1</v>
      </c>
      <c r="M752" t="s">
        <v>12</v>
      </c>
      <c r="N752">
        <v>2</v>
      </c>
      <c r="O752" t="s">
        <v>13</v>
      </c>
      <c r="P752">
        <v>8</v>
      </c>
      <c r="Q752" s="4">
        <v>45937</v>
      </c>
      <c r="R752" s="4"/>
      <c r="S752" t="str">
        <f>TEXT(Table1[[#This Row],[Hiring Date]],"mmmm")</f>
        <v>October</v>
      </c>
      <c r="T752" s="1">
        <f>COUNTIF(S:S,Table1[[#This Row],[Months List]])</f>
        <v>0</v>
      </c>
      <c r="U752" t="str">
        <f>TEXT(Table1[[#This Row],[Hiring Date]],"dddd")</f>
        <v>Tuesday</v>
      </c>
      <c r="V752" s="1" t="str">
        <f>TEXT(Table1[[#This Row],[Hiring Date]],"yyyy")</f>
        <v>2025</v>
      </c>
    </row>
    <row r="753" spans="1:22">
      <c r="A753" t="s">
        <v>357</v>
      </c>
      <c r="B753">
        <v>27</v>
      </c>
      <c r="C753">
        <v>1130</v>
      </c>
      <c r="D753" t="s">
        <v>11</v>
      </c>
      <c r="E753" t="s">
        <v>1498</v>
      </c>
      <c r="F753" t="s">
        <v>1499</v>
      </c>
      <c r="G753">
        <v>56</v>
      </c>
      <c r="H753">
        <v>3</v>
      </c>
      <c r="I753">
        <v>2</v>
      </c>
      <c r="J753" t="s">
        <v>1474</v>
      </c>
      <c r="K753" t="s">
        <v>1475</v>
      </c>
      <c r="L753">
        <v>2</v>
      </c>
      <c r="M753" t="s">
        <v>15</v>
      </c>
      <c r="N753">
        <v>1</v>
      </c>
      <c r="O753" t="s">
        <v>13</v>
      </c>
      <c r="P753">
        <v>8</v>
      </c>
      <c r="Q753" s="4">
        <v>45856</v>
      </c>
      <c r="R753" s="4"/>
      <c r="S753" t="str">
        <f>TEXT(Table1[[#This Row],[Hiring Date]],"mmmm")</f>
        <v>July</v>
      </c>
      <c r="T753" s="1">
        <f>COUNTIF(S:S,Table1[[#This Row],[Months List]])</f>
        <v>0</v>
      </c>
      <c r="U753" t="str">
        <f>TEXT(Table1[[#This Row],[Hiring Date]],"dddd")</f>
        <v>Friday</v>
      </c>
      <c r="V753" s="1" t="str">
        <f>TEXT(Table1[[#This Row],[Hiring Date]],"yyyy")</f>
        <v>2025</v>
      </c>
    </row>
    <row r="754" spans="1:22">
      <c r="A754" t="s">
        <v>358</v>
      </c>
      <c r="B754">
        <v>37</v>
      </c>
      <c r="C754">
        <v>1192</v>
      </c>
      <c r="D754" t="s">
        <v>14</v>
      </c>
      <c r="E754" t="s">
        <v>1495</v>
      </c>
      <c r="F754" t="s">
        <v>1496</v>
      </c>
      <c r="G754">
        <v>61</v>
      </c>
      <c r="H754">
        <v>3</v>
      </c>
      <c r="I754">
        <v>2</v>
      </c>
      <c r="J754" t="s">
        <v>1480</v>
      </c>
      <c r="K754" t="s">
        <v>1481</v>
      </c>
      <c r="L754">
        <v>4</v>
      </c>
      <c r="M754" t="s">
        <v>16</v>
      </c>
      <c r="N754">
        <v>7</v>
      </c>
      <c r="O754" t="s">
        <v>13</v>
      </c>
      <c r="P754">
        <v>8</v>
      </c>
      <c r="Q754" s="4">
        <v>45908</v>
      </c>
      <c r="R754" s="4"/>
      <c r="S754" t="str">
        <f>TEXT(Table1[[#This Row],[Hiring Date]],"mmmm")</f>
        <v>September</v>
      </c>
      <c r="T754" s="1">
        <f>COUNTIF(S:S,Table1[[#This Row],[Months List]])</f>
        <v>0</v>
      </c>
      <c r="U754" t="str">
        <f>TEXT(Table1[[#This Row],[Hiring Date]],"dddd")</f>
        <v>Monday</v>
      </c>
      <c r="V754" s="1" t="str">
        <f>TEXT(Table1[[#This Row],[Hiring Date]],"yyyy")</f>
        <v>2025</v>
      </c>
    </row>
    <row r="755" spans="1:22">
      <c r="A755" t="s">
        <v>359</v>
      </c>
      <c r="B755">
        <v>38</v>
      </c>
      <c r="C755">
        <v>343</v>
      </c>
      <c r="D755" t="s">
        <v>14</v>
      </c>
      <c r="E755" t="s">
        <v>1497</v>
      </c>
      <c r="F755" t="s">
        <v>1496</v>
      </c>
      <c r="G755">
        <v>92</v>
      </c>
      <c r="H755">
        <v>2</v>
      </c>
      <c r="I755">
        <v>3</v>
      </c>
      <c r="J755" t="s">
        <v>1487</v>
      </c>
      <c r="K755" t="s">
        <v>1488</v>
      </c>
      <c r="L755">
        <v>4</v>
      </c>
      <c r="M755" t="s">
        <v>16</v>
      </c>
      <c r="N755">
        <v>0</v>
      </c>
      <c r="O755" t="s">
        <v>10</v>
      </c>
      <c r="P755">
        <v>12</v>
      </c>
      <c r="Q755" s="4">
        <v>45714</v>
      </c>
      <c r="R755" s="4"/>
      <c r="S755" t="str">
        <f>TEXT(Table1[[#This Row],[Hiring Date]],"mmmm")</f>
        <v>February</v>
      </c>
      <c r="T755" s="1">
        <f>COUNTIF(S:S,Table1[[#This Row],[Months List]])</f>
        <v>0</v>
      </c>
      <c r="U755" t="str">
        <f>TEXT(Table1[[#This Row],[Hiring Date]],"dddd")</f>
        <v>Wednesday</v>
      </c>
      <c r="V755" s="1" t="str">
        <f>TEXT(Table1[[#This Row],[Hiring Date]],"yyyy")</f>
        <v>2025</v>
      </c>
    </row>
    <row r="756" spans="1:22">
      <c r="A756" t="s">
        <v>360</v>
      </c>
      <c r="B756">
        <v>31</v>
      </c>
      <c r="C756">
        <v>1232</v>
      </c>
      <c r="D756" t="s">
        <v>14</v>
      </c>
      <c r="E756" t="s">
        <v>1495</v>
      </c>
      <c r="F756" t="s">
        <v>1499</v>
      </c>
      <c r="G756">
        <v>39</v>
      </c>
      <c r="H756">
        <v>3</v>
      </c>
      <c r="I756">
        <v>3</v>
      </c>
      <c r="J756" t="s">
        <v>1480</v>
      </c>
      <c r="K756" t="s">
        <v>1481</v>
      </c>
      <c r="L756">
        <v>4</v>
      </c>
      <c r="M756" t="s">
        <v>12</v>
      </c>
      <c r="N756">
        <v>1</v>
      </c>
      <c r="O756" t="s">
        <v>10</v>
      </c>
      <c r="P756">
        <v>11</v>
      </c>
      <c r="Q756" s="4">
        <v>45858</v>
      </c>
      <c r="R756" s="4"/>
      <c r="S756" t="str">
        <f>TEXT(Table1[[#This Row],[Hiring Date]],"mmmm")</f>
        <v>July</v>
      </c>
      <c r="T756" s="1">
        <f>COUNTIF(S:S,Table1[[#This Row],[Months List]])</f>
        <v>0</v>
      </c>
      <c r="U756" t="str">
        <f>TEXT(Table1[[#This Row],[Hiring Date]],"dddd")</f>
        <v>Sunday</v>
      </c>
      <c r="V756" s="1" t="str">
        <f>TEXT(Table1[[#This Row],[Hiring Date]],"yyyy")</f>
        <v>2025</v>
      </c>
    </row>
    <row r="757" spans="1:22">
      <c r="A757" t="s">
        <v>361</v>
      </c>
      <c r="B757">
        <v>29</v>
      </c>
      <c r="C757">
        <v>144</v>
      </c>
      <c r="D757" t="s">
        <v>11</v>
      </c>
      <c r="E757" t="s">
        <v>1498</v>
      </c>
      <c r="F757" t="s">
        <v>1499</v>
      </c>
      <c r="G757">
        <v>39</v>
      </c>
      <c r="H757">
        <v>2</v>
      </c>
      <c r="I757">
        <v>2</v>
      </c>
      <c r="J757" t="s">
        <v>1474</v>
      </c>
      <c r="K757" t="s">
        <v>1475</v>
      </c>
      <c r="L757">
        <v>2</v>
      </c>
      <c r="M757" t="s">
        <v>16</v>
      </c>
      <c r="N757">
        <v>1</v>
      </c>
      <c r="O757" t="s">
        <v>10</v>
      </c>
      <c r="P757">
        <v>7</v>
      </c>
      <c r="Q757" s="4">
        <v>45801</v>
      </c>
      <c r="R757" s="4"/>
      <c r="S757" t="str">
        <f>TEXT(Table1[[#This Row],[Hiring Date]],"mmmm")</f>
        <v>May</v>
      </c>
      <c r="T757" s="1">
        <f>COUNTIF(S:S,Table1[[#This Row],[Months List]])</f>
        <v>0</v>
      </c>
      <c r="U757" t="str">
        <f>TEXT(Table1[[#This Row],[Hiring Date]],"dddd")</f>
        <v>Saturday</v>
      </c>
      <c r="V757" s="1" t="str">
        <f>TEXT(Table1[[#This Row],[Hiring Date]],"yyyy")</f>
        <v>2025</v>
      </c>
    </row>
    <row r="758" spans="1:22">
      <c r="A758" t="s">
        <v>362</v>
      </c>
      <c r="B758">
        <v>35</v>
      </c>
      <c r="C758">
        <v>1296</v>
      </c>
      <c r="D758" t="s">
        <v>14</v>
      </c>
      <c r="E758" t="s">
        <v>1501</v>
      </c>
      <c r="F758" t="s">
        <v>1496</v>
      </c>
      <c r="G758">
        <v>62</v>
      </c>
      <c r="H758">
        <v>3</v>
      </c>
      <c r="I758">
        <v>3</v>
      </c>
      <c r="J758" t="s">
        <v>1480</v>
      </c>
      <c r="K758" t="s">
        <v>1481</v>
      </c>
      <c r="L758">
        <v>2</v>
      </c>
      <c r="M758" t="s">
        <v>12</v>
      </c>
      <c r="N758">
        <v>0</v>
      </c>
      <c r="O758" t="s">
        <v>13</v>
      </c>
      <c r="P758">
        <v>17</v>
      </c>
      <c r="Q758" s="4">
        <v>45877</v>
      </c>
      <c r="R758" s="4"/>
      <c r="S758" t="str">
        <f>TEXT(Table1[[#This Row],[Hiring Date]],"mmmm")</f>
        <v>August</v>
      </c>
      <c r="T758" s="1">
        <f>COUNTIF(S:S,Table1[[#This Row],[Months List]])</f>
        <v>0</v>
      </c>
      <c r="U758" t="str">
        <f>TEXT(Table1[[#This Row],[Hiring Date]],"dddd")</f>
        <v>Friday</v>
      </c>
      <c r="V758" s="1" t="str">
        <f>TEXT(Table1[[#This Row],[Hiring Date]],"yyyy")</f>
        <v>2025</v>
      </c>
    </row>
    <row r="759" spans="1:22">
      <c r="A759" t="s">
        <v>363</v>
      </c>
      <c r="B759">
        <v>23</v>
      </c>
      <c r="C759">
        <v>1309</v>
      </c>
      <c r="D759" t="s">
        <v>14</v>
      </c>
      <c r="E759" t="s">
        <v>1497</v>
      </c>
      <c r="F759" t="s">
        <v>1496</v>
      </c>
      <c r="G759">
        <v>83</v>
      </c>
      <c r="H759">
        <v>3</v>
      </c>
      <c r="I759">
        <v>1</v>
      </c>
      <c r="J759" t="s">
        <v>1476</v>
      </c>
      <c r="K759" t="s">
        <v>1477</v>
      </c>
      <c r="L759">
        <v>4</v>
      </c>
      <c r="M759" t="s">
        <v>16</v>
      </c>
      <c r="N759">
        <v>1</v>
      </c>
      <c r="O759" t="s">
        <v>13</v>
      </c>
      <c r="P759">
        <v>4</v>
      </c>
      <c r="Q759" s="4">
        <v>45811</v>
      </c>
      <c r="R759" s="4"/>
      <c r="S759" t="str">
        <f>TEXT(Table1[[#This Row],[Hiring Date]],"mmmm")</f>
        <v>June</v>
      </c>
      <c r="T759" s="1">
        <f>COUNTIF(S:S,Table1[[#This Row],[Months List]])</f>
        <v>0</v>
      </c>
      <c r="U759" t="str">
        <f>TEXT(Table1[[#This Row],[Hiring Date]],"dddd")</f>
        <v>Tuesday</v>
      </c>
      <c r="V759" s="1" t="str">
        <f>TEXT(Table1[[#This Row],[Hiring Date]],"yyyy")</f>
        <v>2025</v>
      </c>
    </row>
    <row r="760" spans="1:22">
      <c r="A760" t="s">
        <v>364</v>
      </c>
      <c r="B760">
        <v>41</v>
      </c>
      <c r="C760">
        <v>483</v>
      </c>
      <c r="D760" t="s">
        <v>14</v>
      </c>
      <c r="E760" t="s">
        <v>1495</v>
      </c>
      <c r="F760" t="s">
        <v>1496</v>
      </c>
      <c r="G760">
        <v>95</v>
      </c>
      <c r="H760">
        <v>2</v>
      </c>
      <c r="I760">
        <v>2</v>
      </c>
      <c r="J760" t="s">
        <v>1480</v>
      </c>
      <c r="K760" t="s">
        <v>1481</v>
      </c>
      <c r="L760">
        <v>2</v>
      </c>
      <c r="M760" t="s">
        <v>12</v>
      </c>
      <c r="N760">
        <v>6</v>
      </c>
      <c r="O760" t="s">
        <v>10</v>
      </c>
      <c r="P760">
        <v>8</v>
      </c>
      <c r="Q760" s="4">
        <v>45916</v>
      </c>
      <c r="R760" s="4"/>
      <c r="S760" t="str">
        <f>TEXT(Table1[[#This Row],[Hiring Date]],"mmmm")</f>
        <v>September</v>
      </c>
      <c r="T760" s="1">
        <f>COUNTIF(S:S,Table1[[#This Row],[Months List]])</f>
        <v>0</v>
      </c>
      <c r="U760" t="str">
        <f>TEXT(Table1[[#This Row],[Hiring Date]],"dddd")</f>
        <v>Tuesday</v>
      </c>
      <c r="V760" s="1" t="str">
        <f>TEXT(Table1[[#This Row],[Hiring Date]],"yyyy")</f>
        <v>2025</v>
      </c>
    </row>
    <row r="761" spans="1:22">
      <c r="A761" t="s">
        <v>365</v>
      </c>
      <c r="B761">
        <v>47</v>
      </c>
      <c r="C761">
        <v>1309</v>
      </c>
      <c r="D761" t="s">
        <v>11</v>
      </c>
      <c r="E761" t="s">
        <v>1495</v>
      </c>
      <c r="F761" t="s">
        <v>1496</v>
      </c>
      <c r="G761">
        <v>99</v>
      </c>
      <c r="H761">
        <v>3</v>
      </c>
      <c r="I761">
        <v>2</v>
      </c>
      <c r="J761" t="s">
        <v>1489</v>
      </c>
      <c r="K761" t="s">
        <v>1490</v>
      </c>
      <c r="L761">
        <v>3</v>
      </c>
      <c r="M761" t="s">
        <v>12</v>
      </c>
      <c r="N761">
        <v>3</v>
      </c>
      <c r="O761" t="s">
        <v>13</v>
      </c>
      <c r="P761">
        <v>5</v>
      </c>
      <c r="Q761" s="4">
        <v>45719</v>
      </c>
      <c r="R761" s="4"/>
      <c r="S761" t="str">
        <f>TEXT(Table1[[#This Row],[Hiring Date]],"mmmm")</f>
        <v>March</v>
      </c>
      <c r="T761" s="1">
        <f>COUNTIF(S:S,Table1[[#This Row],[Months List]])</f>
        <v>0</v>
      </c>
      <c r="U761" t="str">
        <f>TEXT(Table1[[#This Row],[Hiring Date]],"dddd")</f>
        <v>Monday</v>
      </c>
      <c r="V761" s="1" t="str">
        <f>TEXT(Table1[[#This Row],[Hiring Date]],"yyyy")</f>
        <v>2025</v>
      </c>
    </row>
    <row r="762" spans="1:22">
      <c r="A762" t="s">
        <v>366</v>
      </c>
      <c r="B762">
        <v>42</v>
      </c>
      <c r="C762">
        <v>810</v>
      </c>
      <c r="D762" t="s">
        <v>14</v>
      </c>
      <c r="E762" t="s">
        <v>1497</v>
      </c>
      <c r="F762" t="s">
        <v>1499</v>
      </c>
      <c r="G762">
        <v>44</v>
      </c>
      <c r="H762">
        <v>3</v>
      </c>
      <c r="I762">
        <v>4</v>
      </c>
      <c r="J762" t="s">
        <v>1487</v>
      </c>
      <c r="K762" t="s">
        <v>1488</v>
      </c>
      <c r="L762">
        <v>4</v>
      </c>
      <c r="M762" t="s">
        <v>12</v>
      </c>
      <c r="N762">
        <v>2</v>
      </c>
      <c r="O762" t="s">
        <v>13</v>
      </c>
      <c r="P762">
        <v>16</v>
      </c>
      <c r="Q762" s="4">
        <v>45980</v>
      </c>
      <c r="R762" s="4"/>
      <c r="S762" t="str">
        <f>TEXT(Table1[[#This Row],[Hiring Date]],"mmmm")</f>
        <v>November</v>
      </c>
      <c r="T762" s="1">
        <f>COUNTIF(S:S,Table1[[#This Row],[Months List]])</f>
        <v>0</v>
      </c>
      <c r="U762" t="str">
        <f>TEXT(Table1[[#This Row],[Hiring Date]],"dddd")</f>
        <v>Wednesday</v>
      </c>
      <c r="V762" s="1" t="str">
        <f>TEXT(Table1[[#This Row],[Hiring Date]],"yyyy")</f>
        <v>2025</v>
      </c>
    </row>
    <row r="763" spans="1:22">
      <c r="A763" t="s">
        <v>43</v>
      </c>
      <c r="B763">
        <v>53</v>
      </c>
      <c r="C763">
        <v>1282</v>
      </c>
      <c r="D763" t="s">
        <v>14</v>
      </c>
      <c r="E763" t="s">
        <v>1500</v>
      </c>
      <c r="F763" t="s">
        <v>1499</v>
      </c>
      <c r="G763">
        <v>58</v>
      </c>
      <c r="H763">
        <v>3</v>
      </c>
      <c r="I763">
        <v>5</v>
      </c>
      <c r="J763" t="s">
        <v>1482</v>
      </c>
      <c r="K763" t="s">
        <v>1483</v>
      </c>
      <c r="L763">
        <v>3</v>
      </c>
      <c r="M763" t="s">
        <v>16</v>
      </c>
      <c r="N763">
        <v>4</v>
      </c>
      <c r="O763" t="s">
        <v>13</v>
      </c>
      <c r="P763">
        <v>26</v>
      </c>
      <c r="Q763" s="4">
        <v>45869</v>
      </c>
      <c r="R763" s="4"/>
      <c r="S763" t="str">
        <f>TEXT(Table1[[#This Row],[Hiring Date]],"mmmm")</f>
        <v>July</v>
      </c>
      <c r="T763" s="1">
        <f>COUNTIF(S:S,Table1[[#This Row],[Months List]])</f>
        <v>0</v>
      </c>
      <c r="U763" t="str">
        <f>TEXT(Table1[[#This Row],[Hiring Date]],"dddd")</f>
        <v>Thursday</v>
      </c>
      <c r="V763" s="1" t="str">
        <f>TEXT(Table1[[#This Row],[Hiring Date]],"yyyy")</f>
        <v>2025</v>
      </c>
    </row>
    <row r="764" spans="1:22">
      <c r="A764" t="s">
        <v>367</v>
      </c>
      <c r="B764">
        <v>29</v>
      </c>
      <c r="C764">
        <v>746</v>
      </c>
      <c r="D764" t="s">
        <v>11</v>
      </c>
      <c r="E764" t="s">
        <v>1497</v>
      </c>
      <c r="F764" t="s">
        <v>1496</v>
      </c>
      <c r="G764">
        <v>61</v>
      </c>
      <c r="H764">
        <v>3</v>
      </c>
      <c r="I764">
        <v>2</v>
      </c>
      <c r="J764" t="s">
        <v>1474</v>
      </c>
      <c r="K764" t="s">
        <v>1475</v>
      </c>
      <c r="L764">
        <v>3</v>
      </c>
      <c r="M764" t="s">
        <v>15</v>
      </c>
      <c r="N764">
        <v>1</v>
      </c>
      <c r="O764" t="s">
        <v>13</v>
      </c>
      <c r="P764">
        <v>4</v>
      </c>
      <c r="Q764" s="4">
        <v>45990</v>
      </c>
      <c r="R764" s="4"/>
      <c r="S764" t="str">
        <f>TEXT(Table1[[#This Row],[Hiring Date]],"mmmm")</f>
        <v>November</v>
      </c>
      <c r="T764" s="1">
        <f>COUNTIF(S:S,Table1[[#This Row],[Months List]])</f>
        <v>0</v>
      </c>
      <c r="U764" t="str">
        <f>TEXT(Table1[[#This Row],[Hiring Date]],"dddd")</f>
        <v>Saturday</v>
      </c>
      <c r="V764" s="1" t="str">
        <f>TEXT(Table1[[#This Row],[Hiring Date]],"yyyy")</f>
        <v>2025</v>
      </c>
    </row>
    <row r="765" spans="1:22">
      <c r="A765" t="s">
        <v>368</v>
      </c>
      <c r="B765">
        <v>42</v>
      </c>
      <c r="C765">
        <v>544</v>
      </c>
      <c r="D765" t="s">
        <v>17</v>
      </c>
      <c r="E765" t="s">
        <v>1501</v>
      </c>
      <c r="F765" t="s">
        <v>1496</v>
      </c>
      <c r="G765">
        <v>52</v>
      </c>
      <c r="H765">
        <v>3</v>
      </c>
      <c r="I765">
        <v>1</v>
      </c>
      <c r="J765" t="s">
        <v>1486</v>
      </c>
      <c r="K765" t="s">
        <v>17</v>
      </c>
      <c r="L765">
        <v>3</v>
      </c>
      <c r="M765" t="s">
        <v>16</v>
      </c>
      <c r="N765">
        <v>0</v>
      </c>
      <c r="O765" t="s">
        <v>10</v>
      </c>
      <c r="P765">
        <v>4</v>
      </c>
      <c r="Q765" s="4">
        <v>45737</v>
      </c>
      <c r="R765" s="4"/>
      <c r="S765" t="str">
        <f>TEXT(Table1[[#This Row],[Hiring Date]],"mmmm")</f>
        <v>March</v>
      </c>
      <c r="T765" s="1">
        <f>COUNTIF(S:S,Table1[[#This Row],[Months List]])</f>
        <v>0</v>
      </c>
      <c r="U765" t="str">
        <f>TEXT(Table1[[#This Row],[Hiring Date]],"dddd")</f>
        <v>Friday</v>
      </c>
      <c r="V765" s="1" t="str">
        <f>TEXT(Table1[[#This Row],[Hiring Date]],"yyyy")</f>
        <v>2025</v>
      </c>
    </row>
    <row r="766" spans="1:22">
      <c r="A766" t="s">
        <v>369</v>
      </c>
      <c r="B766">
        <v>32</v>
      </c>
      <c r="C766">
        <v>1062</v>
      </c>
      <c r="D766" t="s">
        <v>14</v>
      </c>
      <c r="E766" t="s">
        <v>1495</v>
      </c>
      <c r="F766" t="s">
        <v>1499</v>
      </c>
      <c r="G766">
        <v>75</v>
      </c>
      <c r="H766">
        <v>3</v>
      </c>
      <c r="I766">
        <v>1</v>
      </c>
      <c r="J766" t="s">
        <v>1484</v>
      </c>
      <c r="K766" t="s">
        <v>1485</v>
      </c>
      <c r="L766">
        <v>2</v>
      </c>
      <c r="M766" t="s">
        <v>15</v>
      </c>
      <c r="N766">
        <v>1</v>
      </c>
      <c r="O766" t="s">
        <v>13</v>
      </c>
      <c r="P766">
        <v>8</v>
      </c>
      <c r="Q766" s="4">
        <v>45710</v>
      </c>
      <c r="R766" s="4"/>
      <c r="S766" t="str">
        <f>TEXT(Table1[[#This Row],[Hiring Date]],"mmmm")</f>
        <v>February</v>
      </c>
      <c r="T766" s="1">
        <f>COUNTIF(S:S,Table1[[#This Row],[Months List]])</f>
        <v>0</v>
      </c>
      <c r="U766" t="str">
        <f>TEXT(Table1[[#This Row],[Hiring Date]],"dddd")</f>
        <v>Saturday</v>
      </c>
      <c r="V766" s="1" t="str">
        <f>TEXT(Table1[[#This Row],[Hiring Date]],"yyyy")</f>
        <v>2025</v>
      </c>
    </row>
    <row r="767" spans="1:22">
      <c r="A767" t="s">
        <v>370</v>
      </c>
      <c r="B767">
        <v>48</v>
      </c>
      <c r="C767">
        <v>530</v>
      </c>
      <c r="D767" t="s">
        <v>11</v>
      </c>
      <c r="E767" t="s">
        <v>1495</v>
      </c>
      <c r="F767" t="s">
        <v>1499</v>
      </c>
      <c r="G767">
        <v>91</v>
      </c>
      <c r="H767">
        <v>3</v>
      </c>
      <c r="I767">
        <v>3</v>
      </c>
      <c r="J767" t="s">
        <v>1482</v>
      </c>
      <c r="K767" t="s">
        <v>1483</v>
      </c>
      <c r="L767">
        <v>3</v>
      </c>
      <c r="M767" t="s">
        <v>15</v>
      </c>
      <c r="N767">
        <v>3</v>
      </c>
      <c r="O767" t="s">
        <v>13</v>
      </c>
      <c r="P767">
        <v>15</v>
      </c>
      <c r="Q767" s="4">
        <v>45991</v>
      </c>
      <c r="R767" s="4"/>
      <c r="S767" t="str">
        <f>TEXT(Table1[[#This Row],[Hiring Date]],"mmmm")</f>
        <v>November</v>
      </c>
      <c r="T767" s="1">
        <f>COUNTIF(S:S,Table1[[#This Row],[Months List]])</f>
        <v>0</v>
      </c>
      <c r="U767" t="str">
        <f>TEXT(Table1[[#This Row],[Hiring Date]],"dddd")</f>
        <v>Sunday</v>
      </c>
      <c r="V767" s="1" t="str">
        <f>TEXT(Table1[[#This Row],[Hiring Date]],"yyyy")</f>
        <v>2025</v>
      </c>
    </row>
    <row r="768" spans="1:22">
      <c r="A768" t="s">
        <v>371</v>
      </c>
      <c r="B768">
        <v>37</v>
      </c>
      <c r="C768">
        <v>1319</v>
      </c>
      <c r="D768" t="s">
        <v>14</v>
      </c>
      <c r="E768" t="s">
        <v>1495</v>
      </c>
      <c r="F768" t="s">
        <v>1496</v>
      </c>
      <c r="G768">
        <v>51</v>
      </c>
      <c r="H768">
        <v>4</v>
      </c>
      <c r="I768">
        <v>2</v>
      </c>
      <c r="J768" t="s">
        <v>1476</v>
      </c>
      <c r="K768" t="s">
        <v>1477</v>
      </c>
      <c r="L768">
        <v>1</v>
      </c>
      <c r="M768" t="s">
        <v>16</v>
      </c>
      <c r="N768">
        <v>4</v>
      </c>
      <c r="O768" t="s">
        <v>10</v>
      </c>
      <c r="P768">
        <v>13</v>
      </c>
      <c r="Q768" s="4">
        <v>45949</v>
      </c>
      <c r="R768" s="4"/>
      <c r="S768" t="str">
        <f>TEXT(Table1[[#This Row],[Hiring Date]],"mmmm")</f>
        <v>October</v>
      </c>
      <c r="T768" s="1">
        <f>COUNTIF(S:S,Table1[[#This Row],[Months List]])</f>
        <v>0</v>
      </c>
      <c r="U768" t="str">
        <f>TEXT(Table1[[#This Row],[Hiring Date]],"dddd")</f>
        <v>Sunday</v>
      </c>
      <c r="V768" s="1" t="str">
        <f>TEXT(Table1[[#This Row],[Hiring Date]],"yyyy")</f>
        <v>2025</v>
      </c>
    </row>
    <row r="769" spans="1:22">
      <c r="A769" t="s">
        <v>372</v>
      </c>
      <c r="B769">
        <v>30</v>
      </c>
      <c r="C769">
        <v>641</v>
      </c>
      <c r="D769" t="s">
        <v>11</v>
      </c>
      <c r="E769" t="s">
        <v>1501</v>
      </c>
      <c r="F769" t="s">
        <v>1499</v>
      </c>
      <c r="G769">
        <v>85</v>
      </c>
      <c r="H769">
        <v>3</v>
      </c>
      <c r="I769">
        <v>2</v>
      </c>
      <c r="J769" t="s">
        <v>1474</v>
      </c>
      <c r="K769" t="s">
        <v>1475</v>
      </c>
      <c r="L769">
        <v>3</v>
      </c>
      <c r="M769" t="s">
        <v>15</v>
      </c>
      <c r="N769">
        <v>7</v>
      </c>
      <c r="O769" t="s">
        <v>10</v>
      </c>
      <c r="P769">
        <v>4</v>
      </c>
      <c r="Q769" s="4">
        <v>45853</v>
      </c>
      <c r="R769" s="4"/>
      <c r="S769" t="str">
        <f>TEXT(Table1[[#This Row],[Hiring Date]],"mmmm")</f>
        <v>July</v>
      </c>
      <c r="T769" s="1">
        <f>COUNTIF(S:S,Table1[[#This Row],[Months List]])</f>
        <v>0</v>
      </c>
      <c r="U769" t="str">
        <f>TEXT(Table1[[#This Row],[Hiring Date]],"dddd")</f>
        <v>Tuesday</v>
      </c>
      <c r="V769" s="1" t="str">
        <f>TEXT(Table1[[#This Row],[Hiring Date]],"yyyy")</f>
        <v>2025</v>
      </c>
    </row>
    <row r="770" spans="1:22">
      <c r="A770" t="s">
        <v>373</v>
      </c>
      <c r="B770">
        <v>26</v>
      </c>
      <c r="C770">
        <v>933</v>
      </c>
      <c r="D770" t="s">
        <v>11</v>
      </c>
      <c r="E770" t="s">
        <v>1497</v>
      </c>
      <c r="F770" t="s">
        <v>1496</v>
      </c>
      <c r="G770">
        <v>57</v>
      </c>
      <c r="H770">
        <v>3</v>
      </c>
      <c r="I770">
        <v>2</v>
      </c>
      <c r="J770" t="s">
        <v>1474</v>
      </c>
      <c r="K770" t="s">
        <v>1475</v>
      </c>
      <c r="L770">
        <v>3</v>
      </c>
      <c r="M770" t="s">
        <v>15</v>
      </c>
      <c r="N770">
        <v>1</v>
      </c>
      <c r="O770" t="s">
        <v>13</v>
      </c>
      <c r="P770">
        <v>8</v>
      </c>
      <c r="Q770" s="4">
        <v>45967</v>
      </c>
      <c r="R770" s="4"/>
      <c r="S770" t="str">
        <f>TEXT(Table1[[#This Row],[Hiring Date]],"mmmm")</f>
        <v>November</v>
      </c>
      <c r="T770" s="1">
        <f>COUNTIF(S:S,Table1[[#This Row],[Months List]])</f>
        <v>0</v>
      </c>
      <c r="U770" t="str">
        <f>TEXT(Table1[[#This Row],[Hiring Date]],"dddd")</f>
        <v>Thursday</v>
      </c>
      <c r="V770" s="1" t="str">
        <f>TEXT(Table1[[#This Row],[Hiring Date]],"yyyy")</f>
        <v>2025</v>
      </c>
    </row>
    <row r="771" spans="1:22">
      <c r="A771" t="s">
        <v>374</v>
      </c>
      <c r="B771">
        <v>42</v>
      </c>
      <c r="C771">
        <v>1332</v>
      </c>
      <c r="D771" t="s">
        <v>14</v>
      </c>
      <c r="E771" t="s">
        <v>1500</v>
      </c>
      <c r="F771" t="s">
        <v>1496</v>
      </c>
      <c r="G771">
        <v>98</v>
      </c>
      <c r="H771">
        <v>2</v>
      </c>
      <c r="I771">
        <v>2</v>
      </c>
      <c r="J771" t="s">
        <v>1478</v>
      </c>
      <c r="K771" t="s">
        <v>1479</v>
      </c>
      <c r="L771">
        <v>4</v>
      </c>
      <c r="M771" t="s">
        <v>12</v>
      </c>
      <c r="N771">
        <v>3</v>
      </c>
      <c r="O771" t="s">
        <v>13</v>
      </c>
      <c r="P771">
        <v>14</v>
      </c>
      <c r="Q771" s="4">
        <v>45783</v>
      </c>
      <c r="R771" s="4"/>
      <c r="S771" t="str">
        <f>TEXT(Table1[[#This Row],[Hiring Date]],"mmmm")</f>
        <v>May</v>
      </c>
      <c r="T771" s="1">
        <f>COUNTIF(S:S,Table1[[#This Row],[Months List]])</f>
        <v>0</v>
      </c>
      <c r="U771" t="str">
        <f>TEXT(Table1[[#This Row],[Hiring Date]],"dddd")</f>
        <v>Tuesday</v>
      </c>
      <c r="V771" s="1" t="str">
        <f>TEXT(Table1[[#This Row],[Hiring Date]],"yyyy")</f>
        <v>2025</v>
      </c>
    </row>
    <row r="772" spans="1:22">
      <c r="A772" t="s">
        <v>375</v>
      </c>
      <c r="B772">
        <v>21</v>
      </c>
      <c r="C772">
        <v>756</v>
      </c>
      <c r="D772" t="s">
        <v>11</v>
      </c>
      <c r="E772" t="s">
        <v>1501</v>
      </c>
      <c r="F772" t="s">
        <v>1499</v>
      </c>
      <c r="G772">
        <v>99</v>
      </c>
      <c r="H772">
        <v>2</v>
      </c>
      <c r="I772">
        <v>1</v>
      </c>
      <c r="J772" t="s">
        <v>1489</v>
      </c>
      <c r="K772" t="s">
        <v>1490</v>
      </c>
      <c r="L772">
        <v>2</v>
      </c>
      <c r="M772" t="s">
        <v>12</v>
      </c>
      <c r="N772">
        <v>1</v>
      </c>
      <c r="O772" t="s">
        <v>10</v>
      </c>
      <c r="P772">
        <v>3</v>
      </c>
      <c r="Q772" s="4">
        <v>45761</v>
      </c>
      <c r="R772" s="4"/>
      <c r="S772" t="str">
        <f>TEXT(Table1[[#This Row],[Hiring Date]],"mmmm")</f>
        <v>April</v>
      </c>
      <c r="T772" s="1">
        <f>COUNTIF(S:S,Table1[[#This Row],[Months List]])</f>
        <v>0</v>
      </c>
      <c r="U772" t="str">
        <f>TEXT(Table1[[#This Row],[Hiring Date]],"dddd")</f>
        <v>Monday</v>
      </c>
      <c r="V772" s="1" t="str">
        <f>TEXT(Table1[[#This Row],[Hiring Date]],"yyyy")</f>
        <v>2025</v>
      </c>
    </row>
    <row r="773" spans="1:22">
      <c r="A773" t="s">
        <v>376</v>
      </c>
      <c r="B773">
        <v>36</v>
      </c>
      <c r="C773">
        <v>845</v>
      </c>
      <c r="D773" t="s">
        <v>11</v>
      </c>
      <c r="E773" t="s">
        <v>1495</v>
      </c>
      <c r="F773" t="s">
        <v>1499</v>
      </c>
      <c r="G773">
        <v>45</v>
      </c>
      <c r="H773">
        <v>3</v>
      </c>
      <c r="I773">
        <v>2</v>
      </c>
      <c r="J773" t="s">
        <v>1474</v>
      </c>
      <c r="K773" t="s">
        <v>1475</v>
      </c>
      <c r="L773">
        <v>4</v>
      </c>
      <c r="M773" t="s">
        <v>12</v>
      </c>
      <c r="N773">
        <v>4</v>
      </c>
      <c r="O773" t="s">
        <v>13</v>
      </c>
      <c r="P773">
        <v>7</v>
      </c>
      <c r="Q773" s="4">
        <v>45821</v>
      </c>
      <c r="R773" s="4"/>
      <c r="S773" t="str">
        <f>TEXT(Table1[[#This Row],[Hiring Date]],"mmmm")</f>
        <v>June</v>
      </c>
      <c r="T773" s="1">
        <f>COUNTIF(S:S,Table1[[#This Row],[Months List]])</f>
        <v>0</v>
      </c>
      <c r="U773" t="str">
        <f>TEXT(Table1[[#This Row],[Hiring Date]],"dddd")</f>
        <v>Friday</v>
      </c>
      <c r="V773" s="1" t="str">
        <f>TEXT(Table1[[#This Row],[Hiring Date]],"yyyy")</f>
        <v>2025</v>
      </c>
    </row>
    <row r="774" spans="1:22">
      <c r="A774" t="s">
        <v>44</v>
      </c>
      <c r="B774">
        <v>32</v>
      </c>
      <c r="C774">
        <v>1125</v>
      </c>
      <c r="D774" t="s">
        <v>14</v>
      </c>
      <c r="E774" t="s">
        <v>1497</v>
      </c>
      <c r="F774" t="s">
        <v>1499</v>
      </c>
      <c r="G774">
        <v>72</v>
      </c>
      <c r="H774">
        <v>1</v>
      </c>
      <c r="I774">
        <v>1</v>
      </c>
      <c r="J774" t="s">
        <v>1476</v>
      </c>
      <c r="K774" t="s">
        <v>1477</v>
      </c>
      <c r="L774">
        <v>1</v>
      </c>
      <c r="M774" t="s">
        <v>12</v>
      </c>
      <c r="N774">
        <v>1</v>
      </c>
      <c r="O774" t="s">
        <v>10</v>
      </c>
      <c r="P774">
        <v>10</v>
      </c>
      <c r="Q774" s="4">
        <v>45899</v>
      </c>
      <c r="R774" s="4"/>
      <c r="S774" t="str">
        <f>TEXT(Table1[[#This Row],[Hiring Date]],"mmmm")</f>
        <v>August</v>
      </c>
      <c r="T774" s="1">
        <f>COUNTIF(S:S,Table1[[#This Row],[Months List]])</f>
        <v>0</v>
      </c>
      <c r="U774" t="str">
        <f>TEXT(Table1[[#This Row],[Hiring Date]],"dddd")</f>
        <v>Saturday</v>
      </c>
      <c r="V774" s="1" t="str">
        <f>TEXT(Table1[[#This Row],[Hiring Date]],"yyyy")</f>
        <v>2025</v>
      </c>
    </row>
    <row r="775" spans="1:22">
      <c r="A775" t="s">
        <v>377</v>
      </c>
      <c r="B775">
        <v>36</v>
      </c>
      <c r="C775">
        <v>541</v>
      </c>
      <c r="D775" t="s">
        <v>11</v>
      </c>
      <c r="E775" t="s">
        <v>1495</v>
      </c>
      <c r="F775" t="s">
        <v>1496</v>
      </c>
      <c r="G775">
        <v>48</v>
      </c>
      <c r="H775">
        <v>2</v>
      </c>
      <c r="I775">
        <v>3</v>
      </c>
      <c r="J775" t="s">
        <v>1474</v>
      </c>
      <c r="K775" t="s">
        <v>1475</v>
      </c>
      <c r="L775">
        <v>4</v>
      </c>
      <c r="M775" t="s">
        <v>15</v>
      </c>
      <c r="N775">
        <v>4</v>
      </c>
      <c r="O775" t="s">
        <v>13</v>
      </c>
      <c r="P775">
        <v>16</v>
      </c>
      <c r="Q775" s="4">
        <v>45958</v>
      </c>
      <c r="R775" s="4"/>
      <c r="S775" t="str">
        <f>TEXT(Table1[[#This Row],[Hiring Date]],"mmmm")</f>
        <v>October</v>
      </c>
      <c r="T775" s="1">
        <f>COUNTIF(S:S,Table1[[#This Row],[Months List]])</f>
        <v>0</v>
      </c>
      <c r="U775" t="str">
        <f>TEXT(Table1[[#This Row],[Hiring Date]],"dddd")</f>
        <v>Tuesday</v>
      </c>
      <c r="V775" s="1" t="str">
        <f>TEXT(Table1[[#This Row],[Hiring Date]],"yyyy")</f>
        <v>2025</v>
      </c>
    </row>
    <row r="776" spans="1:22">
      <c r="A776" t="s">
        <v>378</v>
      </c>
      <c r="B776">
        <v>57</v>
      </c>
      <c r="C776">
        <v>593</v>
      </c>
      <c r="D776" t="s">
        <v>14</v>
      </c>
      <c r="E776" t="s">
        <v>1495</v>
      </c>
      <c r="F776" t="s">
        <v>1496</v>
      </c>
      <c r="G776">
        <v>88</v>
      </c>
      <c r="H776">
        <v>3</v>
      </c>
      <c r="I776">
        <v>2</v>
      </c>
      <c r="J776" t="s">
        <v>1478</v>
      </c>
      <c r="K776" t="s">
        <v>1479</v>
      </c>
      <c r="L776">
        <v>3</v>
      </c>
      <c r="M776" t="s">
        <v>15</v>
      </c>
      <c r="N776">
        <v>2</v>
      </c>
      <c r="O776" t="s">
        <v>13</v>
      </c>
      <c r="P776">
        <v>15</v>
      </c>
      <c r="Q776" s="4">
        <v>45690</v>
      </c>
      <c r="R776" s="4"/>
      <c r="S776" t="str">
        <f>TEXT(Table1[[#This Row],[Hiring Date]],"mmmm")</f>
        <v>February</v>
      </c>
      <c r="T776" s="1">
        <f>COUNTIF(S:S,Table1[[#This Row],[Months List]])</f>
        <v>0</v>
      </c>
      <c r="U776" t="str">
        <f>TEXT(Table1[[#This Row],[Hiring Date]],"dddd")</f>
        <v>Sunday</v>
      </c>
      <c r="V776" s="1" t="str">
        <f>TEXT(Table1[[#This Row],[Hiring Date]],"yyyy")</f>
        <v>2025</v>
      </c>
    </row>
    <row r="777" spans="1:22">
      <c r="A777" t="s">
        <v>379</v>
      </c>
      <c r="B777">
        <v>40</v>
      </c>
      <c r="C777">
        <v>1171</v>
      </c>
      <c r="D777" t="s">
        <v>14</v>
      </c>
      <c r="E777" t="s">
        <v>1497</v>
      </c>
      <c r="F777" t="s">
        <v>1499</v>
      </c>
      <c r="G777">
        <v>46</v>
      </c>
      <c r="H777">
        <v>4</v>
      </c>
      <c r="I777">
        <v>1</v>
      </c>
      <c r="J777" t="s">
        <v>1484</v>
      </c>
      <c r="K777" t="s">
        <v>1485</v>
      </c>
      <c r="L777">
        <v>3</v>
      </c>
      <c r="M777" t="s">
        <v>15</v>
      </c>
      <c r="N777">
        <v>3</v>
      </c>
      <c r="O777" t="s">
        <v>10</v>
      </c>
      <c r="P777">
        <v>10</v>
      </c>
      <c r="Q777" s="4">
        <v>45879</v>
      </c>
      <c r="R777" s="4"/>
      <c r="S777" t="str">
        <f>TEXT(Table1[[#This Row],[Hiring Date]],"mmmm")</f>
        <v>August</v>
      </c>
      <c r="T777" s="1">
        <f>COUNTIF(S:S,Table1[[#This Row],[Months List]])</f>
        <v>0</v>
      </c>
      <c r="U777" t="str">
        <f>TEXT(Table1[[#This Row],[Hiring Date]],"dddd")</f>
        <v>Sunday</v>
      </c>
      <c r="V777" s="1" t="str">
        <f>TEXT(Table1[[#This Row],[Hiring Date]],"yyyy")</f>
        <v>2025</v>
      </c>
    </row>
    <row r="778" spans="1:22">
      <c r="A778" t="s">
        <v>380</v>
      </c>
      <c r="B778">
        <v>21</v>
      </c>
      <c r="C778">
        <v>895</v>
      </c>
      <c r="D778" t="s">
        <v>11</v>
      </c>
      <c r="E778" t="s">
        <v>1495</v>
      </c>
      <c r="F778" t="s">
        <v>1496</v>
      </c>
      <c r="G778">
        <v>39</v>
      </c>
      <c r="H778">
        <v>3</v>
      </c>
      <c r="I778">
        <v>1</v>
      </c>
      <c r="J778" t="s">
        <v>1489</v>
      </c>
      <c r="K778" t="s">
        <v>1490</v>
      </c>
      <c r="L778">
        <v>4</v>
      </c>
      <c r="M778" t="s">
        <v>12</v>
      </c>
      <c r="N778">
        <v>1</v>
      </c>
      <c r="O778" t="s">
        <v>13</v>
      </c>
      <c r="P778">
        <v>3</v>
      </c>
      <c r="Q778" s="4">
        <v>45856</v>
      </c>
      <c r="R778" s="4"/>
      <c r="S778" t="str">
        <f>TEXT(Table1[[#This Row],[Hiring Date]],"mmmm")</f>
        <v>July</v>
      </c>
      <c r="T778" s="1">
        <f>COUNTIF(S:S,Table1[[#This Row],[Months List]])</f>
        <v>0</v>
      </c>
      <c r="U778" t="str">
        <f>TEXT(Table1[[#This Row],[Hiring Date]],"dddd")</f>
        <v>Friday</v>
      </c>
      <c r="V778" s="1" t="str">
        <f>TEXT(Table1[[#This Row],[Hiring Date]],"yyyy")</f>
        <v>2025</v>
      </c>
    </row>
    <row r="779" spans="1:22">
      <c r="A779" t="s">
        <v>381</v>
      </c>
      <c r="B779">
        <v>33</v>
      </c>
      <c r="C779">
        <v>350</v>
      </c>
      <c r="D779" t="s">
        <v>11</v>
      </c>
      <c r="E779" t="s">
        <v>1498</v>
      </c>
      <c r="F779" t="s">
        <v>1499</v>
      </c>
      <c r="G779">
        <v>34</v>
      </c>
      <c r="H779">
        <v>3</v>
      </c>
      <c r="I779">
        <v>1</v>
      </c>
      <c r="J779" t="s">
        <v>1489</v>
      </c>
      <c r="K779" t="s">
        <v>1490</v>
      </c>
      <c r="L779">
        <v>3</v>
      </c>
      <c r="M779" t="s">
        <v>12</v>
      </c>
      <c r="N779">
        <v>1</v>
      </c>
      <c r="O779" t="s">
        <v>10</v>
      </c>
      <c r="P779">
        <v>1</v>
      </c>
      <c r="Q779" s="4">
        <v>45870</v>
      </c>
      <c r="R779" s="4"/>
      <c r="S779" t="str">
        <f>TEXT(Table1[[#This Row],[Hiring Date]],"mmmm")</f>
        <v>August</v>
      </c>
      <c r="T779" s="1">
        <f>COUNTIF(S:S,Table1[[#This Row],[Months List]])</f>
        <v>0</v>
      </c>
      <c r="U779" t="str">
        <f>TEXT(Table1[[#This Row],[Hiring Date]],"dddd")</f>
        <v>Friday</v>
      </c>
      <c r="V779" s="1" t="str">
        <f>TEXT(Table1[[#This Row],[Hiring Date]],"yyyy")</f>
        <v>2025</v>
      </c>
    </row>
    <row r="780" spans="1:22">
      <c r="A780" t="s">
        <v>382</v>
      </c>
      <c r="B780">
        <v>37</v>
      </c>
      <c r="C780">
        <v>921</v>
      </c>
      <c r="D780" t="s">
        <v>14</v>
      </c>
      <c r="E780" t="s">
        <v>1495</v>
      </c>
      <c r="F780" t="s">
        <v>1499</v>
      </c>
      <c r="G780">
        <v>98</v>
      </c>
      <c r="H780">
        <v>3</v>
      </c>
      <c r="I780">
        <v>1</v>
      </c>
      <c r="J780" t="s">
        <v>1484</v>
      </c>
      <c r="K780" t="s">
        <v>1485</v>
      </c>
      <c r="L780">
        <v>1</v>
      </c>
      <c r="M780" t="s">
        <v>15</v>
      </c>
      <c r="N780">
        <v>6</v>
      </c>
      <c r="O780" t="s">
        <v>13</v>
      </c>
      <c r="P780">
        <v>17</v>
      </c>
      <c r="Q780" s="4">
        <v>45682</v>
      </c>
      <c r="R780" s="4"/>
      <c r="S780" t="str">
        <f>TEXT(Table1[[#This Row],[Hiring Date]],"mmmm")</f>
        <v>January</v>
      </c>
      <c r="T780" s="1">
        <f>COUNTIF(S:S,Table1[[#This Row],[Months List]])</f>
        <v>0</v>
      </c>
      <c r="U780" t="str">
        <f>TEXT(Table1[[#This Row],[Hiring Date]],"dddd")</f>
        <v>Saturday</v>
      </c>
      <c r="V780" s="1" t="str">
        <f>TEXT(Table1[[#This Row],[Hiring Date]],"yyyy")</f>
        <v>2025</v>
      </c>
    </row>
    <row r="781" spans="1:22">
      <c r="A781" t="s">
        <v>383</v>
      </c>
      <c r="B781">
        <v>46</v>
      </c>
      <c r="C781">
        <v>1144</v>
      </c>
      <c r="D781" t="s">
        <v>14</v>
      </c>
      <c r="E781" t="s">
        <v>1495</v>
      </c>
      <c r="F781" t="s">
        <v>1499</v>
      </c>
      <c r="G781">
        <v>30</v>
      </c>
      <c r="H781">
        <v>3</v>
      </c>
      <c r="I781">
        <v>2</v>
      </c>
      <c r="J781" t="s">
        <v>1480</v>
      </c>
      <c r="K781" t="s">
        <v>1481</v>
      </c>
      <c r="L781">
        <v>3</v>
      </c>
      <c r="M781" t="s">
        <v>15</v>
      </c>
      <c r="N781">
        <v>2</v>
      </c>
      <c r="O781" t="s">
        <v>13</v>
      </c>
      <c r="P781">
        <v>7</v>
      </c>
      <c r="Q781" s="4">
        <v>45930</v>
      </c>
      <c r="R781" s="4"/>
      <c r="S781" t="str">
        <f>TEXT(Table1[[#This Row],[Hiring Date]],"mmmm")</f>
        <v>September</v>
      </c>
      <c r="T781" s="1">
        <f>COUNTIF(S:S,Table1[[#This Row],[Months List]])</f>
        <v>0</v>
      </c>
      <c r="U781" t="str">
        <f>TEXT(Table1[[#This Row],[Hiring Date]],"dddd")</f>
        <v>Tuesday</v>
      </c>
      <c r="V781" s="1" t="str">
        <f>TEXT(Table1[[#This Row],[Hiring Date]],"yyyy")</f>
        <v>2025</v>
      </c>
    </row>
    <row r="782" spans="1:22">
      <c r="A782" t="s">
        <v>384</v>
      </c>
      <c r="B782">
        <v>41</v>
      </c>
      <c r="C782">
        <v>143</v>
      </c>
      <c r="D782" t="s">
        <v>11</v>
      </c>
      <c r="E782" t="s">
        <v>1498</v>
      </c>
      <c r="F782" t="s">
        <v>1496</v>
      </c>
      <c r="G782">
        <v>56</v>
      </c>
      <c r="H782">
        <v>3</v>
      </c>
      <c r="I782">
        <v>2</v>
      </c>
      <c r="J782" t="s">
        <v>1474</v>
      </c>
      <c r="K782" t="s">
        <v>1475</v>
      </c>
      <c r="L782">
        <v>2</v>
      </c>
      <c r="M782" t="s">
        <v>12</v>
      </c>
      <c r="N782">
        <v>1</v>
      </c>
      <c r="O782" t="s">
        <v>13</v>
      </c>
      <c r="P782">
        <v>8</v>
      </c>
      <c r="Q782" s="4">
        <v>45879</v>
      </c>
      <c r="R782" s="4"/>
      <c r="S782" t="str">
        <f>TEXT(Table1[[#This Row],[Hiring Date]],"mmmm")</f>
        <v>August</v>
      </c>
      <c r="T782" s="1">
        <f>COUNTIF(S:S,Table1[[#This Row],[Months List]])</f>
        <v>0</v>
      </c>
      <c r="U782" t="str">
        <f>TEXT(Table1[[#This Row],[Hiring Date]],"dddd")</f>
        <v>Sunday</v>
      </c>
      <c r="V782" s="1" t="str">
        <f>TEXT(Table1[[#This Row],[Hiring Date]],"yyyy")</f>
        <v>2025</v>
      </c>
    </row>
    <row r="783" spans="1:22">
      <c r="A783" t="s">
        <v>385</v>
      </c>
      <c r="B783">
        <v>50</v>
      </c>
      <c r="C783">
        <v>1046</v>
      </c>
      <c r="D783" t="s">
        <v>14</v>
      </c>
      <c r="E783" t="s">
        <v>1501</v>
      </c>
      <c r="F783" t="s">
        <v>1496</v>
      </c>
      <c r="G783">
        <v>100</v>
      </c>
      <c r="H783">
        <v>2</v>
      </c>
      <c r="I783">
        <v>3</v>
      </c>
      <c r="J783" t="s">
        <v>1478</v>
      </c>
      <c r="K783" t="s">
        <v>1479</v>
      </c>
      <c r="L783">
        <v>4</v>
      </c>
      <c r="M783" t="s">
        <v>12</v>
      </c>
      <c r="N783">
        <v>6</v>
      </c>
      <c r="O783" t="s">
        <v>13</v>
      </c>
      <c r="P783">
        <v>20</v>
      </c>
      <c r="Q783" s="4">
        <v>45748</v>
      </c>
      <c r="R783" s="4"/>
      <c r="S783" t="str">
        <f>TEXT(Table1[[#This Row],[Hiring Date]],"mmmm")</f>
        <v>April</v>
      </c>
      <c r="T783" s="1">
        <f>COUNTIF(S:S,Table1[[#This Row],[Months List]])</f>
        <v>0</v>
      </c>
      <c r="U783" t="str">
        <f>TEXT(Table1[[#This Row],[Hiring Date]],"dddd")</f>
        <v>Tuesday</v>
      </c>
      <c r="V783" s="1" t="str">
        <f>TEXT(Table1[[#This Row],[Hiring Date]],"yyyy")</f>
        <v>2025</v>
      </c>
    </row>
    <row r="784" spans="1:22">
      <c r="A784" t="s">
        <v>386</v>
      </c>
      <c r="B784">
        <v>40</v>
      </c>
      <c r="C784">
        <v>575</v>
      </c>
      <c r="D784" t="s">
        <v>11</v>
      </c>
      <c r="E784" t="s">
        <v>1498</v>
      </c>
      <c r="F784" t="s">
        <v>1496</v>
      </c>
      <c r="G784">
        <v>68</v>
      </c>
      <c r="H784">
        <v>2</v>
      </c>
      <c r="I784">
        <v>2</v>
      </c>
      <c r="J784" t="s">
        <v>1474</v>
      </c>
      <c r="K784" t="s">
        <v>1475</v>
      </c>
      <c r="L784">
        <v>3</v>
      </c>
      <c r="M784" t="s">
        <v>15</v>
      </c>
      <c r="N784">
        <v>2</v>
      </c>
      <c r="O784" t="s">
        <v>10</v>
      </c>
      <c r="P784">
        <v>8</v>
      </c>
      <c r="Q784" s="4">
        <v>45883</v>
      </c>
      <c r="R784" s="4"/>
      <c r="S784" t="str">
        <f>TEXT(Table1[[#This Row],[Hiring Date]],"mmmm")</f>
        <v>August</v>
      </c>
      <c r="T784" s="1">
        <f>COUNTIF(S:S,Table1[[#This Row],[Months List]])</f>
        <v>0</v>
      </c>
      <c r="U784" t="str">
        <f>TEXT(Table1[[#This Row],[Hiring Date]],"dddd")</f>
        <v>Thursday</v>
      </c>
      <c r="V784" s="1" t="str">
        <f>TEXT(Table1[[#This Row],[Hiring Date]],"yyyy")</f>
        <v>2025</v>
      </c>
    </row>
    <row r="785" spans="1:22">
      <c r="A785" t="s">
        <v>45</v>
      </c>
      <c r="B785">
        <v>42</v>
      </c>
      <c r="C785">
        <v>691</v>
      </c>
      <c r="D785" t="s">
        <v>11</v>
      </c>
      <c r="E785" t="s">
        <v>1498</v>
      </c>
      <c r="F785" t="s">
        <v>1496</v>
      </c>
      <c r="G785">
        <v>48</v>
      </c>
      <c r="H785">
        <v>3</v>
      </c>
      <c r="I785">
        <v>2</v>
      </c>
      <c r="J785" t="s">
        <v>1474</v>
      </c>
      <c r="K785" t="s">
        <v>1475</v>
      </c>
      <c r="L785">
        <v>2</v>
      </c>
      <c r="M785" t="s">
        <v>15</v>
      </c>
      <c r="N785">
        <v>0</v>
      </c>
      <c r="O785" t="s">
        <v>13</v>
      </c>
      <c r="P785">
        <v>10</v>
      </c>
      <c r="Q785" s="4">
        <v>45709</v>
      </c>
      <c r="R785" s="4"/>
      <c r="S785" t="str">
        <f>TEXT(Table1[[#This Row],[Hiring Date]],"mmmm")</f>
        <v>February</v>
      </c>
      <c r="T785" s="1">
        <f>COUNTIF(S:S,Table1[[#This Row],[Months List]])</f>
        <v>0</v>
      </c>
      <c r="U785" t="str">
        <f>TEXT(Table1[[#This Row],[Hiring Date]],"dddd")</f>
        <v>Friday</v>
      </c>
      <c r="V785" s="1" t="str">
        <f>TEXT(Table1[[#This Row],[Hiring Date]],"yyyy")</f>
        <v>2025</v>
      </c>
    </row>
    <row r="786" spans="1:22">
      <c r="A786" t="s">
        <v>387</v>
      </c>
      <c r="B786">
        <v>31</v>
      </c>
      <c r="C786">
        <v>408</v>
      </c>
      <c r="D786" t="s">
        <v>14</v>
      </c>
      <c r="E786" t="s">
        <v>1497</v>
      </c>
      <c r="F786" t="s">
        <v>1496</v>
      </c>
      <c r="G786">
        <v>42</v>
      </c>
      <c r="H786">
        <v>2</v>
      </c>
      <c r="I786">
        <v>1</v>
      </c>
      <c r="J786" t="s">
        <v>1476</v>
      </c>
      <c r="K786" t="s">
        <v>1477</v>
      </c>
      <c r="L786">
        <v>2</v>
      </c>
      <c r="M786" t="s">
        <v>12</v>
      </c>
      <c r="N786">
        <v>0</v>
      </c>
      <c r="O786" t="s">
        <v>10</v>
      </c>
      <c r="P786">
        <v>3</v>
      </c>
      <c r="Q786" s="4">
        <v>45724</v>
      </c>
      <c r="R786" s="4"/>
      <c r="S786" t="str">
        <f>TEXT(Table1[[#This Row],[Hiring Date]],"mmmm")</f>
        <v>March</v>
      </c>
      <c r="T786" s="1">
        <f>COUNTIF(S:S,Table1[[#This Row],[Months List]])</f>
        <v>0</v>
      </c>
      <c r="U786" t="str">
        <f>TEXT(Table1[[#This Row],[Hiring Date]],"dddd")</f>
        <v>Saturday</v>
      </c>
      <c r="V786" s="1" t="str">
        <f>TEXT(Table1[[#This Row],[Hiring Date]],"yyyy")</f>
        <v>2025</v>
      </c>
    </row>
    <row r="787" spans="1:22">
      <c r="A787" t="s">
        <v>388</v>
      </c>
      <c r="B787">
        <v>21</v>
      </c>
      <c r="C787">
        <v>156</v>
      </c>
      <c r="D787" t="s">
        <v>11</v>
      </c>
      <c r="E787" t="s">
        <v>1497</v>
      </c>
      <c r="F787" t="s">
        <v>1499</v>
      </c>
      <c r="G787">
        <v>90</v>
      </c>
      <c r="H787">
        <v>4</v>
      </c>
      <c r="I787">
        <v>1</v>
      </c>
      <c r="J787" t="s">
        <v>1489</v>
      </c>
      <c r="K787" t="s">
        <v>1490</v>
      </c>
      <c r="L787">
        <v>2</v>
      </c>
      <c r="M787" t="s">
        <v>12</v>
      </c>
      <c r="N787">
        <v>1</v>
      </c>
      <c r="O787" t="s">
        <v>13</v>
      </c>
      <c r="P787">
        <v>1</v>
      </c>
      <c r="Q787" s="4">
        <v>45676</v>
      </c>
      <c r="R787" s="4"/>
      <c r="S787" t="str">
        <f>TEXT(Table1[[#This Row],[Hiring Date]],"mmmm")</f>
        <v>January</v>
      </c>
      <c r="T787" s="1">
        <f>COUNTIF(S:S,Table1[[#This Row],[Months List]])</f>
        <v>0</v>
      </c>
      <c r="U787" t="str">
        <f>TEXT(Table1[[#This Row],[Hiring Date]],"dddd")</f>
        <v>Sunday</v>
      </c>
      <c r="V787" s="1" t="str">
        <f>TEXT(Table1[[#This Row],[Hiring Date]],"yyyy")</f>
        <v>2025</v>
      </c>
    </row>
    <row r="788" spans="1:22">
      <c r="A788" t="s">
        <v>389</v>
      </c>
      <c r="B788">
        <v>29</v>
      </c>
      <c r="C788">
        <v>1283</v>
      </c>
      <c r="D788" t="s">
        <v>14</v>
      </c>
      <c r="E788" t="s">
        <v>1497</v>
      </c>
      <c r="F788" t="s">
        <v>1496</v>
      </c>
      <c r="G788">
        <v>54</v>
      </c>
      <c r="H788">
        <v>3</v>
      </c>
      <c r="I788">
        <v>1</v>
      </c>
      <c r="J788" t="s">
        <v>1476</v>
      </c>
      <c r="K788" t="s">
        <v>1477</v>
      </c>
      <c r="L788">
        <v>4</v>
      </c>
      <c r="M788" t="s">
        <v>12</v>
      </c>
      <c r="N788">
        <v>9</v>
      </c>
      <c r="O788" t="s">
        <v>13</v>
      </c>
      <c r="P788">
        <v>6</v>
      </c>
      <c r="Q788" s="4">
        <v>45954</v>
      </c>
      <c r="R788" s="4"/>
      <c r="S788" t="str">
        <f>TEXT(Table1[[#This Row],[Hiring Date]],"mmmm")</f>
        <v>October</v>
      </c>
      <c r="T788" s="1">
        <f>COUNTIF(S:S,Table1[[#This Row],[Months List]])</f>
        <v>0</v>
      </c>
      <c r="U788" t="str">
        <f>TEXT(Table1[[#This Row],[Hiring Date]],"dddd")</f>
        <v>Friday</v>
      </c>
      <c r="V788" s="1" t="str">
        <f>TEXT(Table1[[#This Row],[Hiring Date]],"yyyy")</f>
        <v>2025</v>
      </c>
    </row>
    <row r="789" spans="1:22">
      <c r="A789" t="s">
        <v>390</v>
      </c>
      <c r="B789">
        <v>35</v>
      </c>
      <c r="C789">
        <v>755</v>
      </c>
      <c r="D789" t="s">
        <v>14</v>
      </c>
      <c r="E789" t="s">
        <v>1497</v>
      </c>
      <c r="F789" t="s">
        <v>1496</v>
      </c>
      <c r="G789">
        <v>97</v>
      </c>
      <c r="H789">
        <v>2</v>
      </c>
      <c r="I789">
        <v>2</v>
      </c>
      <c r="J789" t="s">
        <v>1478</v>
      </c>
      <c r="K789" t="s">
        <v>1479</v>
      </c>
      <c r="L789">
        <v>2</v>
      </c>
      <c r="M789" t="s">
        <v>12</v>
      </c>
      <c r="N789">
        <v>9</v>
      </c>
      <c r="O789" t="s">
        <v>13</v>
      </c>
      <c r="P789">
        <v>10</v>
      </c>
      <c r="Q789" s="4">
        <v>45989</v>
      </c>
      <c r="R789" s="4"/>
      <c r="S789" t="str">
        <f>TEXT(Table1[[#This Row],[Hiring Date]],"mmmm")</f>
        <v>November</v>
      </c>
      <c r="T789" s="1">
        <f>COUNTIF(S:S,Table1[[#This Row],[Months List]])</f>
        <v>0</v>
      </c>
      <c r="U789" t="str">
        <f>TEXT(Table1[[#This Row],[Hiring Date]],"dddd")</f>
        <v>Friday</v>
      </c>
      <c r="V789" s="1" t="str">
        <f>TEXT(Table1[[#This Row],[Hiring Date]],"yyyy")</f>
        <v>2025</v>
      </c>
    </row>
    <row r="790" spans="1:22">
      <c r="A790" t="s">
        <v>391</v>
      </c>
      <c r="B790">
        <v>27</v>
      </c>
      <c r="C790">
        <v>1469</v>
      </c>
      <c r="D790" t="s">
        <v>14</v>
      </c>
      <c r="E790" t="s">
        <v>1495</v>
      </c>
      <c r="F790" t="s">
        <v>1496</v>
      </c>
      <c r="G790">
        <v>82</v>
      </c>
      <c r="H790">
        <v>3</v>
      </c>
      <c r="I790">
        <v>1</v>
      </c>
      <c r="J790" t="s">
        <v>1484</v>
      </c>
      <c r="K790" t="s">
        <v>1485</v>
      </c>
      <c r="L790">
        <v>2</v>
      </c>
      <c r="M790" t="s">
        <v>16</v>
      </c>
      <c r="N790">
        <v>1</v>
      </c>
      <c r="O790" t="s">
        <v>13</v>
      </c>
      <c r="P790">
        <v>5</v>
      </c>
      <c r="Q790" s="4">
        <v>45992</v>
      </c>
      <c r="R790" s="4"/>
      <c r="S790" t="str">
        <f>TEXT(Table1[[#This Row],[Hiring Date]],"mmmm")</f>
        <v>December</v>
      </c>
      <c r="T790" s="1">
        <f>COUNTIF(S:S,Table1[[#This Row],[Months List]])</f>
        <v>0</v>
      </c>
      <c r="U790" t="str">
        <f>TEXT(Table1[[#This Row],[Hiring Date]],"dddd")</f>
        <v>Monday</v>
      </c>
      <c r="V790" s="1" t="str">
        <f>TEXT(Table1[[#This Row],[Hiring Date]],"yyyy")</f>
        <v>2025</v>
      </c>
    </row>
    <row r="791" spans="1:22">
      <c r="A791" t="s">
        <v>392</v>
      </c>
      <c r="B791">
        <v>28</v>
      </c>
      <c r="C791">
        <v>304</v>
      </c>
      <c r="D791" t="s">
        <v>11</v>
      </c>
      <c r="E791" t="s">
        <v>1497</v>
      </c>
      <c r="F791" t="s">
        <v>1496</v>
      </c>
      <c r="G791">
        <v>92</v>
      </c>
      <c r="H791">
        <v>3</v>
      </c>
      <c r="I791">
        <v>2</v>
      </c>
      <c r="J791" t="s">
        <v>1474</v>
      </c>
      <c r="K791" t="s">
        <v>1475</v>
      </c>
      <c r="L791">
        <v>4</v>
      </c>
      <c r="M791" t="s">
        <v>12</v>
      </c>
      <c r="N791">
        <v>1</v>
      </c>
      <c r="O791" t="s">
        <v>13</v>
      </c>
      <c r="P791">
        <v>7</v>
      </c>
      <c r="Q791" s="4">
        <v>45723</v>
      </c>
      <c r="R791" s="4"/>
      <c r="S791" t="str">
        <f>TEXT(Table1[[#This Row],[Hiring Date]],"mmmm")</f>
        <v>March</v>
      </c>
      <c r="T791" s="1">
        <f>COUNTIF(S:S,Table1[[#This Row],[Months List]])</f>
        <v>0</v>
      </c>
      <c r="U791" t="str">
        <f>TEXT(Table1[[#This Row],[Hiring Date]],"dddd")</f>
        <v>Friday</v>
      </c>
      <c r="V791" s="1" t="str">
        <f>TEXT(Table1[[#This Row],[Hiring Date]],"yyyy")</f>
        <v>2025</v>
      </c>
    </row>
    <row r="792" spans="1:22">
      <c r="A792" t="s">
        <v>393</v>
      </c>
      <c r="B792">
        <v>49</v>
      </c>
      <c r="C792">
        <v>1261</v>
      </c>
      <c r="D792" t="s">
        <v>14</v>
      </c>
      <c r="E792" t="s">
        <v>1500</v>
      </c>
      <c r="F792" t="s">
        <v>1496</v>
      </c>
      <c r="G792">
        <v>31</v>
      </c>
      <c r="H792">
        <v>2</v>
      </c>
      <c r="I792">
        <v>3</v>
      </c>
      <c r="J792" t="s">
        <v>1478</v>
      </c>
      <c r="K792" t="s">
        <v>1479</v>
      </c>
      <c r="L792">
        <v>3</v>
      </c>
      <c r="M792" t="s">
        <v>12</v>
      </c>
      <c r="N792">
        <v>8</v>
      </c>
      <c r="O792" t="s">
        <v>13</v>
      </c>
      <c r="P792">
        <v>26</v>
      </c>
      <c r="Q792" s="4">
        <v>45933</v>
      </c>
      <c r="R792" s="4"/>
      <c r="S792" t="str">
        <f>TEXT(Table1[[#This Row],[Hiring Date]],"mmmm")</f>
        <v>October</v>
      </c>
      <c r="T792" s="1">
        <f>COUNTIF(S:S,Table1[[#This Row],[Months List]])</f>
        <v>0</v>
      </c>
      <c r="U792" t="str">
        <f>TEXT(Table1[[#This Row],[Hiring Date]],"dddd")</f>
        <v>Friday</v>
      </c>
      <c r="V792" s="1" t="str">
        <f>TEXT(Table1[[#This Row],[Hiring Date]],"yyyy")</f>
        <v>2025</v>
      </c>
    </row>
    <row r="793" spans="1:22">
      <c r="A793" t="s">
        <v>394</v>
      </c>
      <c r="B793">
        <v>51</v>
      </c>
      <c r="C793">
        <v>1178</v>
      </c>
      <c r="D793" t="s">
        <v>11</v>
      </c>
      <c r="E793" t="s">
        <v>1497</v>
      </c>
      <c r="F793" t="s">
        <v>1499</v>
      </c>
      <c r="G793">
        <v>87</v>
      </c>
      <c r="H793">
        <v>3</v>
      </c>
      <c r="I793">
        <v>2</v>
      </c>
      <c r="J793" t="s">
        <v>1474</v>
      </c>
      <c r="K793" t="s">
        <v>1475</v>
      </c>
      <c r="L793">
        <v>4</v>
      </c>
      <c r="M793" t="s">
        <v>15</v>
      </c>
      <c r="N793">
        <v>4</v>
      </c>
      <c r="O793" t="s">
        <v>13</v>
      </c>
      <c r="P793">
        <v>18</v>
      </c>
      <c r="Q793" s="4">
        <v>45924</v>
      </c>
      <c r="R793" s="4"/>
      <c r="S793" t="str">
        <f>TEXT(Table1[[#This Row],[Hiring Date]],"mmmm")</f>
        <v>September</v>
      </c>
      <c r="T793" s="1">
        <f>COUNTIF(S:S,Table1[[#This Row],[Months List]])</f>
        <v>0</v>
      </c>
      <c r="U793" t="str">
        <f>TEXT(Table1[[#This Row],[Hiring Date]],"dddd")</f>
        <v>Wednesday</v>
      </c>
      <c r="V793" s="1" t="str">
        <f>TEXT(Table1[[#This Row],[Hiring Date]],"yyyy")</f>
        <v>2025</v>
      </c>
    </row>
    <row r="794" spans="1:22">
      <c r="A794" t="s">
        <v>395</v>
      </c>
      <c r="B794">
        <v>36</v>
      </c>
      <c r="C794">
        <v>329</v>
      </c>
      <c r="D794" t="s">
        <v>14</v>
      </c>
      <c r="E794" t="s">
        <v>1497</v>
      </c>
      <c r="F794" t="s">
        <v>1499</v>
      </c>
      <c r="G794">
        <v>96</v>
      </c>
      <c r="H794">
        <v>3</v>
      </c>
      <c r="I794">
        <v>1</v>
      </c>
      <c r="J794" t="s">
        <v>1476</v>
      </c>
      <c r="K794" t="s">
        <v>1477</v>
      </c>
      <c r="L794">
        <v>3</v>
      </c>
      <c r="M794" t="s">
        <v>15</v>
      </c>
      <c r="N794">
        <v>4</v>
      </c>
      <c r="O794" t="s">
        <v>13</v>
      </c>
      <c r="P794">
        <v>6</v>
      </c>
      <c r="Q794" s="4">
        <v>45854</v>
      </c>
      <c r="R794" s="4"/>
      <c r="S794" t="str">
        <f>TEXT(Table1[[#This Row],[Hiring Date]],"mmmm")</f>
        <v>July</v>
      </c>
      <c r="T794" s="1">
        <f>COUNTIF(S:S,Table1[[#This Row],[Months List]])</f>
        <v>0</v>
      </c>
      <c r="U794" t="str">
        <f>TEXT(Table1[[#This Row],[Hiring Date]],"dddd")</f>
        <v>Wednesday</v>
      </c>
      <c r="V794" s="1" t="str">
        <f>TEXT(Table1[[#This Row],[Hiring Date]],"yyyy")</f>
        <v>2025</v>
      </c>
    </row>
    <row r="795" spans="1:22">
      <c r="A795" t="s">
        <v>396</v>
      </c>
      <c r="B795">
        <v>34</v>
      </c>
      <c r="C795">
        <v>1362</v>
      </c>
      <c r="D795" t="s">
        <v>11</v>
      </c>
      <c r="E795" t="s">
        <v>1498</v>
      </c>
      <c r="F795" t="s">
        <v>1496</v>
      </c>
      <c r="G795">
        <v>67</v>
      </c>
      <c r="H795">
        <v>4</v>
      </c>
      <c r="I795">
        <v>2</v>
      </c>
      <c r="J795" t="s">
        <v>1474</v>
      </c>
      <c r="K795" t="s">
        <v>1475</v>
      </c>
      <c r="L795">
        <v>4</v>
      </c>
      <c r="M795" t="s">
        <v>12</v>
      </c>
      <c r="N795">
        <v>8</v>
      </c>
      <c r="O795" t="s">
        <v>10</v>
      </c>
      <c r="P795">
        <v>9</v>
      </c>
      <c r="Q795" s="4">
        <v>45803</v>
      </c>
      <c r="R795" s="4"/>
      <c r="S795" t="str">
        <f>TEXT(Table1[[#This Row],[Hiring Date]],"mmmm")</f>
        <v>May</v>
      </c>
      <c r="T795" s="1">
        <f>COUNTIF(S:S,Table1[[#This Row],[Months List]])</f>
        <v>0</v>
      </c>
      <c r="U795" t="str">
        <f>TEXT(Table1[[#This Row],[Hiring Date]],"dddd")</f>
        <v>Monday</v>
      </c>
      <c r="V795" s="1" t="str">
        <f>TEXT(Table1[[#This Row],[Hiring Date]],"yyyy")</f>
        <v>2025</v>
      </c>
    </row>
    <row r="796" spans="1:22">
      <c r="A796" t="s">
        <v>46</v>
      </c>
      <c r="B796">
        <v>44</v>
      </c>
      <c r="C796">
        <v>477</v>
      </c>
      <c r="D796" t="s">
        <v>14</v>
      </c>
      <c r="E796" t="s">
        <v>1495</v>
      </c>
      <c r="F796" t="s">
        <v>1499</v>
      </c>
      <c r="G796">
        <v>42</v>
      </c>
      <c r="H796">
        <v>2</v>
      </c>
      <c r="I796">
        <v>3</v>
      </c>
      <c r="J796" t="s">
        <v>1478</v>
      </c>
      <c r="K796" t="s">
        <v>1479</v>
      </c>
      <c r="L796">
        <v>4</v>
      </c>
      <c r="M796" t="s">
        <v>15</v>
      </c>
      <c r="N796">
        <v>3</v>
      </c>
      <c r="O796" t="s">
        <v>13</v>
      </c>
      <c r="P796">
        <v>24</v>
      </c>
      <c r="Q796" s="4">
        <v>45932</v>
      </c>
      <c r="R796" s="4"/>
      <c r="S796" t="str">
        <f>TEXT(Table1[[#This Row],[Hiring Date]],"mmmm")</f>
        <v>October</v>
      </c>
      <c r="T796" s="1">
        <f>COUNTIF(S:S,Table1[[#This Row],[Months List]])</f>
        <v>0</v>
      </c>
      <c r="U796" t="str">
        <f>TEXT(Table1[[#This Row],[Hiring Date]],"dddd")</f>
        <v>Thursday</v>
      </c>
      <c r="V796" s="1" t="str">
        <f>TEXT(Table1[[#This Row],[Hiring Date]],"yyyy")</f>
        <v>2025</v>
      </c>
    </row>
    <row r="797" spans="1:22">
      <c r="A797" t="s">
        <v>397</v>
      </c>
      <c r="B797">
        <v>55</v>
      </c>
      <c r="C797">
        <v>1311</v>
      </c>
      <c r="D797" t="s">
        <v>14</v>
      </c>
      <c r="E797" t="s">
        <v>1497</v>
      </c>
      <c r="F797" t="s">
        <v>1499</v>
      </c>
      <c r="G797">
        <v>97</v>
      </c>
      <c r="H797">
        <v>3</v>
      </c>
      <c r="I797">
        <v>4</v>
      </c>
      <c r="J797" t="s">
        <v>1482</v>
      </c>
      <c r="K797" t="s">
        <v>1483</v>
      </c>
      <c r="L797">
        <v>4</v>
      </c>
      <c r="M797" t="s">
        <v>12</v>
      </c>
      <c r="N797">
        <v>2</v>
      </c>
      <c r="O797" t="s">
        <v>10</v>
      </c>
      <c r="P797">
        <v>30</v>
      </c>
      <c r="Q797" s="4">
        <v>45682</v>
      </c>
      <c r="R797" s="4"/>
      <c r="S797" t="str">
        <f>TEXT(Table1[[#This Row],[Hiring Date]],"mmmm")</f>
        <v>January</v>
      </c>
      <c r="T797" s="1">
        <f>COUNTIF(S:S,Table1[[#This Row],[Months List]])</f>
        <v>0</v>
      </c>
      <c r="U797" t="str">
        <f>TEXT(Table1[[#This Row],[Hiring Date]],"dddd")</f>
        <v>Saturday</v>
      </c>
      <c r="V797" s="1" t="str">
        <f>TEXT(Table1[[#This Row],[Hiring Date]],"yyyy")</f>
        <v>2025</v>
      </c>
    </row>
    <row r="798" spans="1:22">
      <c r="A798" t="s">
        <v>398</v>
      </c>
      <c r="B798">
        <v>24</v>
      </c>
      <c r="C798">
        <v>1371</v>
      </c>
      <c r="D798" t="s">
        <v>11</v>
      </c>
      <c r="E798" t="s">
        <v>1498</v>
      </c>
      <c r="F798" t="s">
        <v>1499</v>
      </c>
      <c r="G798">
        <v>77</v>
      </c>
      <c r="H798">
        <v>3</v>
      </c>
      <c r="I798">
        <v>2</v>
      </c>
      <c r="J798" t="s">
        <v>1474</v>
      </c>
      <c r="K798" t="s">
        <v>1475</v>
      </c>
      <c r="L798">
        <v>3</v>
      </c>
      <c r="M798" t="s">
        <v>16</v>
      </c>
      <c r="N798">
        <v>1</v>
      </c>
      <c r="O798" t="s">
        <v>10</v>
      </c>
      <c r="P798">
        <v>5</v>
      </c>
      <c r="Q798" s="4">
        <v>45928</v>
      </c>
      <c r="R798" s="4"/>
      <c r="S798" t="str">
        <f>TEXT(Table1[[#This Row],[Hiring Date]],"mmmm")</f>
        <v>September</v>
      </c>
      <c r="T798" s="1">
        <f>COUNTIF(S:S,Table1[[#This Row],[Months List]])</f>
        <v>0</v>
      </c>
      <c r="U798" t="str">
        <f>TEXT(Table1[[#This Row],[Hiring Date]],"dddd")</f>
        <v>Sunday</v>
      </c>
      <c r="V798" s="1" t="str">
        <f>TEXT(Table1[[#This Row],[Hiring Date]],"yyyy")</f>
        <v>2025</v>
      </c>
    </row>
    <row r="799" spans="1:22">
      <c r="A799" t="s">
        <v>399</v>
      </c>
      <c r="B799">
        <v>30</v>
      </c>
      <c r="C799">
        <v>202</v>
      </c>
      <c r="D799" t="s">
        <v>11</v>
      </c>
      <c r="E799" t="s">
        <v>1501</v>
      </c>
      <c r="F799" t="s">
        <v>1496</v>
      </c>
      <c r="G799">
        <v>72</v>
      </c>
      <c r="H799">
        <v>3</v>
      </c>
      <c r="I799">
        <v>1</v>
      </c>
      <c r="J799" t="s">
        <v>1489</v>
      </c>
      <c r="K799" t="s">
        <v>1490</v>
      </c>
      <c r="L799">
        <v>2</v>
      </c>
      <c r="M799" t="s">
        <v>15</v>
      </c>
      <c r="N799">
        <v>1</v>
      </c>
      <c r="O799" t="s">
        <v>13</v>
      </c>
      <c r="P799">
        <v>1</v>
      </c>
      <c r="Q799" s="4">
        <v>45927</v>
      </c>
      <c r="R799" s="4"/>
      <c r="S799" t="str">
        <f>TEXT(Table1[[#This Row],[Hiring Date]],"mmmm")</f>
        <v>September</v>
      </c>
      <c r="T799" s="1">
        <f>COUNTIF(S:S,Table1[[#This Row],[Months List]])</f>
        <v>0</v>
      </c>
      <c r="U799" t="str">
        <f>TEXT(Table1[[#This Row],[Hiring Date]],"dddd")</f>
        <v>Saturday</v>
      </c>
      <c r="V799" s="1" t="str">
        <f>TEXT(Table1[[#This Row],[Hiring Date]],"yyyy")</f>
        <v>2025</v>
      </c>
    </row>
    <row r="800" spans="1:22">
      <c r="A800" t="s">
        <v>400</v>
      </c>
      <c r="B800">
        <v>26</v>
      </c>
      <c r="C800">
        <v>575</v>
      </c>
      <c r="D800" t="s">
        <v>14</v>
      </c>
      <c r="E800" t="s">
        <v>1501</v>
      </c>
      <c r="F800" t="s">
        <v>1496</v>
      </c>
      <c r="G800">
        <v>73</v>
      </c>
      <c r="H800">
        <v>3</v>
      </c>
      <c r="I800">
        <v>1</v>
      </c>
      <c r="J800" t="s">
        <v>1476</v>
      </c>
      <c r="K800" t="s">
        <v>1477</v>
      </c>
      <c r="L800">
        <v>1</v>
      </c>
      <c r="M800" t="s">
        <v>12</v>
      </c>
      <c r="N800">
        <v>0</v>
      </c>
      <c r="O800" t="s">
        <v>13</v>
      </c>
      <c r="P800">
        <v>7</v>
      </c>
      <c r="Q800" s="4">
        <v>45914</v>
      </c>
      <c r="R800" s="4"/>
      <c r="S800" t="str">
        <f>TEXT(Table1[[#This Row],[Hiring Date]],"mmmm")</f>
        <v>September</v>
      </c>
      <c r="T800" s="1">
        <f>COUNTIF(S:S,Table1[[#This Row],[Months List]])</f>
        <v>0</v>
      </c>
      <c r="U800" t="str">
        <f>TEXT(Table1[[#This Row],[Hiring Date]],"dddd")</f>
        <v>Sunday</v>
      </c>
      <c r="V800" s="1" t="str">
        <f>TEXT(Table1[[#This Row],[Hiring Date]],"yyyy")</f>
        <v>2025</v>
      </c>
    </row>
    <row r="801" spans="1:22">
      <c r="A801" t="s">
        <v>401</v>
      </c>
      <c r="B801">
        <v>22</v>
      </c>
      <c r="C801">
        <v>253</v>
      </c>
      <c r="D801" t="s">
        <v>14</v>
      </c>
      <c r="E801" t="s">
        <v>1495</v>
      </c>
      <c r="F801" t="s">
        <v>1499</v>
      </c>
      <c r="G801">
        <v>43</v>
      </c>
      <c r="H801">
        <v>3</v>
      </c>
      <c r="I801">
        <v>1</v>
      </c>
      <c r="J801" t="s">
        <v>1476</v>
      </c>
      <c r="K801" t="s">
        <v>1477</v>
      </c>
      <c r="L801">
        <v>2</v>
      </c>
      <c r="M801" t="s">
        <v>15</v>
      </c>
      <c r="N801">
        <v>1</v>
      </c>
      <c r="O801" t="s">
        <v>13</v>
      </c>
      <c r="P801">
        <v>2</v>
      </c>
      <c r="Q801" s="4">
        <v>45747</v>
      </c>
      <c r="R801" s="4"/>
      <c r="S801" t="str">
        <f>TEXT(Table1[[#This Row],[Hiring Date]],"mmmm")</f>
        <v>March</v>
      </c>
      <c r="T801" s="1">
        <f>COUNTIF(S:S,Table1[[#This Row],[Months List]])</f>
        <v>0</v>
      </c>
      <c r="U801" t="str">
        <f>TEXT(Table1[[#This Row],[Hiring Date]],"dddd")</f>
        <v>Monday</v>
      </c>
      <c r="V801" s="1" t="str">
        <f>TEXT(Table1[[#This Row],[Hiring Date]],"yyyy")</f>
        <v>2025</v>
      </c>
    </row>
    <row r="802" spans="1:22">
      <c r="A802" t="s">
        <v>402</v>
      </c>
      <c r="B802">
        <v>36</v>
      </c>
      <c r="C802">
        <v>164</v>
      </c>
      <c r="D802" t="s">
        <v>11</v>
      </c>
      <c r="E802" t="s">
        <v>1495</v>
      </c>
      <c r="F802" t="s">
        <v>1496</v>
      </c>
      <c r="G802">
        <v>61</v>
      </c>
      <c r="H802">
        <v>2</v>
      </c>
      <c r="I802">
        <v>3</v>
      </c>
      <c r="J802" t="s">
        <v>1474</v>
      </c>
      <c r="K802" t="s">
        <v>1475</v>
      </c>
      <c r="L802">
        <v>3</v>
      </c>
      <c r="M802" t="s">
        <v>15</v>
      </c>
      <c r="N802">
        <v>1</v>
      </c>
      <c r="O802" t="s">
        <v>13</v>
      </c>
      <c r="P802">
        <v>10</v>
      </c>
      <c r="Q802" s="4">
        <v>45973</v>
      </c>
      <c r="R802" s="4"/>
      <c r="S802" t="str">
        <f>TEXT(Table1[[#This Row],[Hiring Date]],"mmmm")</f>
        <v>November</v>
      </c>
      <c r="T802" s="1">
        <f>COUNTIF(S:S,Table1[[#This Row],[Months List]])</f>
        <v>0</v>
      </c>
      <c r="U802" t="str">
        <f>TEXT(Table1[[#This Row],[Hiring Date]],"dddd")</f>
        <v>Wednesday</v>
      </c>
      <c r="V802" s="1" t="str">
        <f>TEXT(Table1[[#This Row],[Hiring Date]],"yyyy")</f>
        <v>2025</v>
      </c>
    </row>
    <row r="803" spans="1:22">
      <c r="A803" t="s">
        <v>403</v>
      </c>
      <c r="B803">
        <v>30</v>
      </c>
      <c r="C803">
        <v>464</v>
      </c>
      <c r="D803" t="s">
        <v>14</v>
      </c>
      <c r="E803" t="s">
        <v>1501</v>
      </c>
      <c r="F803" t="s">
        <v>1496</v>
      </c>
      <c r="G803">
        <v>40</v>
      </c>
      <c r="H803">
        <v>3</v>
      </c>
      <c r="I803">
        <v>1</v>
      </c>
      <c r="J803" t="s">
        <v>1476</v>
      </c>
      <c r="K803" t="s">
        <v>1477</v>
      </c>
      <c r="L803">
        <v>4</v>
      </c>
      <c r="M803" t="s">
        <v>12</v>
      </c>
      <c r="N803">
        <v>9</v>
      </c>
      <c r="O803" t="s">
        <v>10</v>
      </c>
      <c r="P803">
        <v>3</v>
      </c>
      <c r="Q803" s="4">
        <v>45649</v>
      </c>
      <c r="R803" s="4"/>
      <c r="S803" t="str">
        <f>TEXT(Table1[[#This Row],[Hiring Date]],"mmmm")</f>
        <v>December</v>
      </c>
      <c r="T803" s="1">
        <f>COUNTIF(S:S,Table1[[#This Row],[Months List]])</f>
        <v>0</v>
      </c>
      <c r="U803" t="str">
        <f>TEXT(Table1[[#This Row],[Hiring Date]],"dddd")</f>
        <v>Monday</v>
      </c>
      <c r="V803" s="1" t="str">
        <f>TEXT(Table1[[#This Row],[Hiring Date]],"yyyy")</f>
        <v>2024</v>
      </c>
    </row>
    <row r="804" spans="1:22">
      <c r="A804" t="s">
        <v>404</v>
      </c>
      <c r="B804">
        <v>37</v>
      </c>
      <c r="C804">
        <v>1107</v>
      </c>
      <c r="D804" t="s">
        <v>14</v>
      </c>
      <c r="E804" t="s">
        <v>1497</v>
      </c>
      <c r="F804" t="s">
        <v>1499</v>
      </c>
      <c r="G804">
        <v>95</v>
      </c>
      <c r="H804">
        <v>3</v>
      </c>
      <c r="I804">
        <v>1</v>
      </c>
      <c r="J804" t="s">
        <v>1484</v>
      </c>
      <c r="K804" t="s">
        <v>1485</v>
      </c>
      <c r="L804">
        <v>1</v>
      </c>
      <c r="M804" t="s">
        <v>16</v>
      </c>
      <c r="N804">
        <v>1</v>
      </c>
      <c r="O804" t="s">
        <v>13</v>
      </c>
      <c r="P804">
        <v>18</v>
      </c>
      <c r="Q804" s="4">
        <v>45789</v>
      </c>
      <c r="R804" s="4"/>
      <c r="S804" t="str">
        <f>TEXT(Table1[[#This Row],[Hiring Date]],"mmmm")</f>
        <v>May</v>
      </c>
      <c r="T804" s="1">
        <f>COUNTIF(S:S,Table1[[#This Row],[Months List]])</f>
        <v>0</v>
      </c>
      <c r="U804" t="str">
        <f>TEXT(Table1[[#This Row],[Hiring Date]],"dddd")</f>
        <v>Monday</v>
      </c>
      <c r="V804" s="1" t="str">
        <f>TEXT(Table1[[#This Row],[Hiring Date]],"yyyy")</f>
        <v>2025</v>
      </c>
    </row>
    <row r="805" spans="1:22">
      <c r="A805" t="s">
        <v>405</v>
      </c>
      <c r="B805">
        <v>40</v>
      </c>
      <c r="C805">
        <v>759</v>
      </c>
      <c r="D805" t="s">
        <v>11</v>
      </c>
      <c r="E805" t="s">
        <v>1498</v>
      </c>
      <c r="F805" t="s">
        <v>1499</v>
      </c>
      <c r="G805">
        <v>46</v>
      </c>
      <c r="H805">
        <v>3</v>
      </c>
      <c r="I805">
        <v>2</v>
      </c>
      <c r="J805" t="s">
        <v>1474</v>
      </c>
      <c r="K805" t="s">
        <v>1475</v>
      </c>
      <c r="L805">
        <v>2</v>
      </c>
      <c r="M805" t="s">
        <v>16</v>
      </c>
      <c r="N805">
        <v>7</v>
      </c>
      <c r="O805" t="s">
        <v>13</v>
      </c>
      <c r="P805">
        <v>8</v>
      </c>
      <c r="Q805" s="4">
        <v>45921</v>
      </c>
      <c r="R805" s="4"/>
      <c r="S805" t="str">
        <f>TEXT(Table1[[#This Row],[Hiring Date]],"mmmm")</f>
        <v>September</v>
      </c>
      <c r="T805" s="1">
        <f>COUNTIF(S:S,Table1[[#This Row],[Months List]])</f>
        <v>0</v>
      </c>
      <c r="U805" t="str">
        <f>TEXT(Table1[[#This Row],[Hiring Date]],"dddd")</f>
        <v>Sunday</v>
      </c>
      <c r="V805" s="1" t="str">
        <f>TEXT(Table1[[#This Row],[Hiring Date]],"yyyy")</f>
        <v>2025</v>
      </c>
    </row>
    <row r="806" spans="1:22">
      <c r="A806" t="s">
        <v>406</v>
      </c>
      <c r="B806">
        <v>42</v>
      </c>
      <c r="C806">
        <v>201</v>
      </c>
      <c r="D806" t="s">
        <v>14</v>
      </c>
      <c r="E806" t="s">
        <v>1497</v>
      </c>
      <c r="F806" t="s">
        <v>1499</v>
      </c>
      <c r="G806">
        <v>95</v>
      </c>
      <c r="H806">
        <v>3</v>
      </c>
      <c r="I806">
        <v>1</v>
      </c>
      <c r="J806" t="s">
        <v>1484</v>
      </c>
      <c r="K806" t="s">
        <v>1485</v>
      </c>
      <c r="L806">
        <v>1</v>
      </c>
      <c r="M806" t="s">
        <v>16</v>
      </c>
      <c r="N806">
        <v>3</v>
      </c>
      <c r="O806" t="s">
        <v>13</v>
      </c>
      <c r="P806">
        <v>8</v>
      </c>
      <c r="Q806" s="4">
        <v>45741</v>
      </c>
      <c r="R806" s="4"/>
      <c r="S806" t="str">
        <f>TEXT(Table1[[#This Row],[Hiring Date]],"mmmm")</f>
        <v>March</v>
      </c>
      <c r="T806" s="1">
        <f>COUNTIF(S:S,Table1[[#This Row],[Months List]])</f>
        <v>0</v>
      </c>
      <c r="U806" t="str">
        <f>TEXT(Table1[[#This Row],[Hiring Date]],"dddd")</f>
        <v>Tuesday</v>
      </c>
      <c r="V806" s="1" t="str">
        <f>TEXT(Table1[[#This Row],[Hiring Date]],"yyyy")</f>
        <v>2025</v>
      </c>
    </row>
    <row r="807" spans="1:22">
      <c r="A807" t="s">
        <v>47</v>
      </c>
      <c r="B807">
        <v>46</v>
      </c>
      <c r="C807">
        <v>705</v>
      </c>
      <c r="D807" t="s">
        <v>11</v>
      </c>
      <c r="E807" t="s">
        <v>1498</v>
      </c>
      <c r="F807" t="s">
        <v>1499</v>
      </c>
      <c r="G807">
        <v>83</v>
      </c>
      <c r="H807">
        <v>3</v>
      </c>
      <c r="I807">
        <v>5</v>
      </c>
      <c r="J807" t="s">
        <v>1482</v>
      </c>
      <c r="K807" t="s">
        <v>1483</v>
      </c>
      <c r="L807">
        <v>1</v>
      </c>
      <c r="M807" t="s">
        <v>12</v>
      </c>
      <c r="N807">
        <v>3</v>
      </c>
      <c r="O807" t="s">
        <v>13</v>
      </c>
      <c r="P807">
        <v>22</v>
      </c>
      <c r="Q807" s="4">
        <v>45863</v>
      </c>
      <c r="R807" s="4"/>
      <c r="S807" t="str">
        <f>TEXT(Table1[[#This Row],[Hiring Date]],"mmmm")</f>
        <v>July</v>
      </c>
      <c r="T807" s="1">
        <f>COUNTIF(S:S,Table1[[#This Row],[Months List]])</f>
        <v>0</v>
      </c>
      <c r="U807" t="str">
        <f>TEXT(Table1[[#This Row],[Hiring Date]],"dddd")</f>
        <v>Friday</v>
      </c>
      <c r="V807" s="1" t="str">
        <f>TEXT(Table1[[#This Row],[Hiring Date]],"yyyy")</f>
        <v>2025</v>
      </c>
    </row>
    <row r="808" spans="1:22">
      <c r="A808" t="s">
        <v>407</v>
      </c>
      <c r="B808">
        <v>37</v>
      </c>
      <c r="C808">
        <v>1305</v>
      </c>
      <c r="D808" t="s">
        <v>14</v>
      </c>
      <c r="E808" t="s">
        <v>1497</v>
      </c>
      <c r="F808" t="s">
        <v>1496</v>
      </c>
      <c r="G808">
        <v>49</v>
      </c>
      <c r="H808">
        <v>3</v>
      </c>
      <c r="I808">
        <v>2</v>
      </c>
      <c r="J808" t="s">
        <v>1480</v>
      </c>
      <c r="K808" t="s">
        <v>1481</v>
      </c>
      <c r="L808">
        <v>2</v>
      </c>
      <c r="M808" t="s">
        <v>12</v>
      </c>
      <c r="N808">
        <v>2</v>
      </c>
      <c r="O808" t="s">
        <v>10</v>
      </c>
      <c r="P808">
        <v>18</v>
      </c>
      <c r="Q808" s="4">
        <v>45915</v>
      </c>
      <c r="R808" s="4"/>
      <c r="S808" t="str">
        <f>TEXT(Table1[[#This Row],[Hiring Date]],"mmmm")</f>
        <v>September</v>
      </c>
      <c r="T808" s="1">
        <f>COUNTIF(S:S,Table1[[#This Row],[Months List]])</f>
        <v>0</v>
      </c>
      <c r="U808" t="str">
        <f>TEXT(Table1[[#This Row],[Hiring Date]],"dddd")</f>
        <v>Monday</v>
      </c>
      <c r="V808" s="1" t="str">
        <f>TEXT(Table1[[#This Row],[Hiring Date]],"yyyy")</f>
        <v>2025</v>
      </c>
    </row>
    <row r="809" spans="1:22">
      <c r="A809" t="s">
        <v>408</v>
      </c>
      <c r="B809">
        <v>43</v>
      </c>
      <c r="C809">
        <v>982</v>
      </c>
      <c r="D809" t="s">
        <v>14</v>
      </c>
      <c r="E809" t="s">
        <v>1497</v>
      </c>
      <c r="F809" t="s">
        <v>1496</v>
      </c>
      <c r="G809">
        <v>59</v>
      </c>
      <c r="H809">
        <v>2</v>
      </c>
      <c r="I809">
        <v>4</v>
      </c>
      <c r="J809" t="s">
        <v>1487</v>
      </c>
      <c r="K809" t="s">
        <v>1488</v>
      </c>
      <c r="L809">
        <v>2</v>
      </c>
      <c r="M809" t="s">
        <v>16</v>
      </c>
      <c r="N809">
        <v>1</v>
      </c>
      <c r="O809" t="s">
        <v>13</v>
      </c>
      <c r="P809">
        <v>25</v>
      </c>
      <c r="Q809" s="4">
        <v>45996</v>
      </c>
      <c r="R809" s="4"/>
      <c r="S809" t="str">
        <f>TEXT(Table1[[#This Row],[Hiring Date]],"mmmm")</f>
        <v>December</v>
      </c>
      <c r="T809" s="1">
        <f>COUNTIF(S:S,Table1[[#This Row],[Months List]])</f>
        <v>0</v>
      </c>
      <c r="U809" t="str">
        <f>TEXT(Table1[[#This Row],[Hiring Date]],"dddd")</f>
        <v>Friday</v>
      </c>
      <c r="V809" s="1" t="str">
        <f>TEXT(Table1[[#This Row],[Hiring Date]],"yyyy")</f>
        <v>2025</v>
      </c>
    </row>
    <row r="810" spans="1:22">
      <c r="A810" t="s">
        <v>409</v>
      </c>
      <c r="B810">
        <v>40</v>
      </c>
      <c r="C810">
        <v>555</v>
      </c>
      <c r="D810" t="s">
        <v>14</v>
      </c>
      <c r="E810" t="s">
        <v>1495</v>
      </c>
      <c r="F810" t="s">
        <v>1499</v>
      </c>
      <c r="G810">
        <v>78</v>
      </c>
      <c r="H810">
        <v>2</v>
      </c>
      <c r="I810">
        <v>2</v>
      </c>
      <c r="J810" t="s">
        <v>1484</v>
      </c>
      <c r="K810" t="s">
        <v>1485</v>
      </c>
      <c r="L810">
        <v>3</v>
      </c>
      <c r="M810" t="s">
        <v>15</v>
      </c>
      <c r="N810">
        <v>6</v>
      </c>
      <c r="O810" t="s">
        <v>13</v>
      </c>
      <c r="P810">
        <v>20</v>
      </c>
      <c r="Q810" s="4">
        <v>45980</v>
      </c>
      <c r="R810" s="4"/>
      <c r="S810" t="str">
        <f>TEXT(Table1[[#This Row],[Hiring Date]],"mmmm")</f>
        <v>November</v>
      </c>
      <c r="T810" s="1">
        <f>COUNTIF(S:S,Table1[[#This Row],[Months List]])</f>
        <v>0</v>
      </c>
      <c r="U810" t="str">
        <f>TEXT(Table1[[#This Row],[Hiring Date]],"dddd")</f>
        <v>Wednesday</v>
      </c>
      <c r="V810" s="1" t="str">
        <f>TEXT(Table1[[#This Row],[Hiring Date]],"yyyy")</f>
        <v>2025</v>
      </c>
    </row>
    <row r="811" spans="1:22">
      <c r="A811" t="s">
        <v>410</v>
      </c>
      <c r="B811">
        <v>54</v>
      </c>
      <c r="C811">
        <v>821</v>
      </c>
      <c r="D811" t="s">
        <v>14</v>
      </c>
      <c r="E811" t="s">
        <v>1495</v>
      </c>
      <c r="F811" t="s">
        <v>1496</v>
      </c>
      <c r="G811">
        <v>86</v>
      </c>
      <c r="H811">
        <v>3</v>
      </c>
      <c r="I811">
        <v>5</v>
      </c>
      <c r="J811" t="s">
        <v>1487</v>
      </c>
      <c r="K811" t="s">
        <v>1488</v>
      </c>
      <c r="L811">
        <v>1</v>
      </c>
      <c r="M811" t="s">
        <v>15</v>
      </c>
      <c r="N811">
        <v>4</v>
      </c>
      <c r="O811" t="s">
        <v>13</v>
      </c>
      <c r="P811">
        <v>24</v>
      </c>
      <c r="Q811" s="4">
        <v>45843</v>
      </c>
      <c r="R811" s="4"/>
      <c r="S811" t="str">
        <f>TEXT(Table1[[#This Row],[Hiring Date]],"mmmm")</f>
        <v>July</v>
      </c>
      <c r="T811" s="1">
        <f>COUNTIF(S:S,Table1[[#This Row],[Months List]])</f>
        <v>0</v>
      </c>
      <c r="U811" t="str">
        <f>TEXT(Table1[[#This Row],[Hiring Date]],"dddd")</f>
        <v>Saturday</v>
      </c>
      <c r="V811" s="1" t="str">
        <f>TEXT(Table1[[#This Row],[Hiring Date]],"yyyy")</f>
        <v>2025</v>
      </c>
    </row>
    <row r="812" spans="1:22">
      <c r="A812" t="s">
        <v>411</v>
      </c>
      <c r="B812">
        <v>34</v>
      </c>
      <c r="C812">
        <v>1381</v>
      </c>
      <c r="D812" t="s">
        <v>11</v>
      </c>
      <c r="E812" t="s">
        <v>1498</v>
      </c>
      <c r="F812" t="s">
        <v>1499</v>
      </c>
      <c r="G812">
        <v>72</v>
      </c>
      <c r="H812">
        <v>3</v>
      </c>
      <c r="I812">
        <v>2</v>
      </c>
      <c r="J812" t="s">
        <v>1474</v>
      </c>
      <c r="K812" t="s">
        <v>1475</v>
      </c>
      <c r="L812">
        <v>3</v>
      </c>
      <c r="M812" t="s">
        <v>15</v>
      </c>
      <c r="N812">
        <v>9</v>
      </c>
      <c r="O812" t="s">
        <v>13</v>
      </c>
      <c r="P812">
        <v>6</v>
      </c>
      <c r="Q812" s="4">
        <v>45955</v>
      </c>
      <c r="R812" s="4"/>
      <c r="S812" t="str">
        <f>TEXT(Table1[[#This Row],[Hiring Date]],"mmmm")</f>
        <v>October</v>
      </c>
      <c r="T812" s="1">
        <f>COUNTIF(S:S,Table1[[#This Row],[Months List]])</f>
        <v>0</v>
      </c>
      <c r="U812" t="str">
        <f>TEXT(Table1[[#This Row],[Hiring Date]],"dddd")</f>
        <v>Saturday</v>
      </c>
      <c r="V812" s="1" t="str">
        <f>TEXT(Table1[[#This Row],[Hiring Date]],"yyyy")</f>
        <v>2025</v>
      </c>
    </row>
    <row r="813" spans="1:22">
      <c r="A813" t="s">
        <v>412</v>
      </c>
      <c r="B813">
        <v>31</v>
      </c>
      <c r="C813">
        <v>480</v>
      </c>
      <c r="D813" t="s">
        <v>14</v>
      </c>
      <c r="E813" t="s">
        <v>1495</v>
      </c>
      <c r="F813" t="s">
        <v>1499</v>
      </c>
      <c r="G813">
        <v>31</v>
      </c>
      <c r="H813">
        <v>3</v>
      </c>
      <c r="I813">
        <v>2</v>
      </c>
      <c r="J813" t="s">
        <v>1480</v>
      </c>
      <c r="K813" t="s">
        <v>1481</v>
      </c>
      <c r="L813">
        <v>1</v>
      </c>
      <c r="M813" t="s">
        <v>15</v>
      </c>
      <c r="N813">
        <v>1</v>
      </c>
      <c r="O813" t="s">
        <v>13</v>
      </c>
      <c r="P813">
        <v>13</v>
      </c>
      <c r="Q813" s="4">
        <v>45767</v>
      </c>
      <c r="R813" s="4"/>
      <c r="S813" t="str">
        <f>TEXT(Table1[[#This Row],[Hiring Date]],"mmmm")</f>
        <v>April</v>
      </c>
      <c r="T813" s="1">
        <f>COUNTIF(S:S,Table1[[#This Row],[Months List]])</f>
        <v>0</v>
      </c>
      <c r="U813" t="str">
        <f>TEXT(Table1[[#This Row],[Hiring Date]],"dddd")</f>
        <v>Sunday</v>
      </c>
      <c r="V813" s="1" t="str">
        <f>TEXT(Table1[[#This Row],[Hiring Date]],"yyyy")</f>
        <v>2025</v>
      </c>
    </row>
    <row r="814" spans="1:22">
      <c r="A814" t="s">
        <v>413</v>
      </c>
      <c r="B814">
        <v>43</v>
      </c>
      <c r="C814">
        <v>313</v>
      </c>
      <c r="D814" t="s">
        <v>14</v>
      </c>
      <c r="E814" t="s">
        <v>1495</v>
      </c>
      <c r="F814" t="s">
        <v>1496</v>
      </c>
      <c r="G814">
        <v>61</v>
      </c>
      <c r="H814">
        <v>3</v>
      </c>
      <c r="I814">
        <v>1</v>
      </c>
      <c r="J814" t="s">
        <v>1484</v>
      </c>
      <c r="K814" t="s">
        <v>1485</v>
      </c>
      <c r="L814">
        <v>4</v>
      </c>
      <c r="M814" t="s">
        <v>15</v>
      </c>
      <c r="N814">
        <v>7</v>
      </c>
      <c r="O814" t="s">
        <v>13</v>
      </c>
      <c r="P814">
        <v>8</v>
      </c>
      <c r="Q814" s="4">
        <v>45874</v>
      </c>
      <c r="R814" s="4"/>
      <c r="S814" t="str">
        <f>TEXT(Table1[[#This Row],[Hiring Date]],"mmmm")</f>
        <v>August</v>
      </c>
      <c r="T814" s="1">
        <f>COUNTIF(S:S,Table1[[#This Row],[Months List]])</f>
        <v>0</v>
      </c>
      <c r="U814" t="str">
        <f>TEXT(Table1[[#This Row],[Hiring Date]],"dddd")</f>
        <v>Tuesday</v>
      </c>
      <c r="V814" s="1" t="str">
        <f>TEXT(Table1[[#This Row],[Hiring Date]],"yyyy")</f>
        <v>2025</v>
      </c>
    </row>
    <row r="815" spans="1:22">
      <c r="A815" t="s">
        <v>414</v>
      </c>
      <c r="B815">
        <v>43</v>
      </c>
      <c r="C815">
        <v>1473</v>
      </c>
      <c r="D815" t="s">
        <v>14</v>
      </c>
      <c r="E815" t="s">
        <v>1500</v>
      </c>
      <c r="F815" t="s">
        <v>1499</v>
      </c>
      <c r="G815">
        <v>74</v>
      </c>
      <c r="H815">
        <v>3</v>
      </c>
      <c r="I815">
        <v>2</v>
      </c>
      <c r="J815" t="s">
        <v>1478</v>
      </c>
      <c r="K815" t="s">
        <v>1479</v>
      </c>
      <c r="L815">
        <v>3</v>
      </c>
      <c r="M815" t="s">
        <v>16</v>
      </c>
      <c r="N815">
        <v>4</v>
      </c>
      <c r="O815" t="s">
        <v>10</v>
      </c>
      <c r="P815">
        <v>8</v>
      </c>
      <c r="Q815" s="4">
        <v>45709</v>
      </c>
      <c r="R815" s="4"/>
      <c r="S815" t="str">
        <f>TEXT(Table1[[#This Row],[Hiring Date]],"mmmm")</f>
        <v>February</v>
      </c>
      <c r="T815" s="1">
        <f>COUNTIF(S:S,Table1[[#This Row],[Months List]])</f>
        <v>0</v>
      </c>
      <c r="U815" t="str">
        <f>TEXT(Table1[[#This Row],[Hiring Date]],"dddd")</f>
        <v>Friday</v>
      </c>
      <c r="V815" s="1" t="str">
        <f>TEXT(Table1[[#This Row],[Hiring Date]],"yyyy")</f>
        <v>2025</v>
      </c>
    </row>
    <row r="816" spans="1:22">
      <c r="A816" t="s">
        <v>415</v>
      </c>
      <c r="B816">
        <v>25</v>
      </c>
      <c r="C816">
        <v>891</v>
      </c>
      <c r="D816" t="s">
        <v>11</v>
      </c>
      <c r="E816" t="s">
        <v>1497</v>
      </c>
      <c r="F816" t="s">
        <v>1499</v>
      </c>
      <c r="G816">
        <v>99</v>
      </c>
      <c r="H816">
        <v>2</v>
      </c>
      <c r="I816">
        <v>2</v>
      </c>
      <c r="J816" t="s">
        <v>1474</v>
      </c>
      <c r="K816" t="s">
        <v>1475</v>
      </c>
      <c r="L816">
        <v>4</v>
      </c>
      <c r="M816" t="s">
        <v>12</v>
      </c>
      <c r="N816">
        <v>1</v>
      </c>
      <c r="O816" t="s">
        <v>10</v>
      </c>
      <c r="P816">
        <v>5</v>
      </c>
      <c r="Q816" s="4">
        <v>45705</v>
      </c>
      <c r="R816" s="4"/>
      <c r="S816" t="str">
        <f>TEXT(Table1[[#This Row],[Hiring Date]],"mmmm")</f>
        <v>February</v>
      </c>
      <c r="T816" s="1">
        <f>COUNTIF(S:S,Table1[[#This Row],[Months List]])</f>
        <v>0</v>
      </c>
      <c r="U816" t="str">
        <f>TEXT(Table1[[#This Row],[Hiring Date]],"dddd")</f>
        <v>Monday</v>
      </c>
      <c r="V816" s="1" t="str">
        <f>TEXT(Table1[[#This Row],[Hiring Date]],"yyyy")</f>
        <v>2025</v>
      </c>
    </row>
    <row r="817" spans="1:22">
      <c r="A817" t="s">
        <v>416</v>
      </c>
      <c r="B817">
        <v>37</v>
      </c>
      <c r="C817">
        <v>1063</v>
      </c>
      <c r="D817" t="s">
        <v>14</v>
      </c>
      <c r="E817" t="s">
        <v>1495</v>
      </c>
      <c r="F817" t="s">
        <v>1499</v>
      </c>
      <c r="G817">
        <v>72</v>
      </c>
      <c r="H817">
        <v>3</v>
      </c>
      <c r="I817">
        <v>2</v>
      </c>
      <c r="J817" t="s">
        <v>1476</v>
      </c>
      <c r="K817" t="s">
        <v>1477</v>
      </c>
      <c r="L817">
        <v>3</v>
      </c>
      <c r="M817" t="s">
        <v>15</v>
      </c>
      <c r="N817">
        <v>3</v>
      </c>
      <c r="O817" t="s">
        <v>10</v>
      </c>
      <c r="P817">
        <v>15</v>
      </c>
      <c r="Q817" s="4">
        <v>45772</v>
      </c>
      <c r="R817" s="4"/>
      <c r="S817" t="str">
        <f>TEXT(Table1[[#This Row],[Hiring Date]],"mmmm")</f>
        <v>April</v>
      </c>
      <c r="T817" s="1">
        <f>COUNTIF(S:S,Table1[[#This Row],[Months List]])</f>
        <v>0</v>
      </c>
      <c r="U817" t="str">
        <f>TEXT(Table1[[#This Row],[Hiring Date]],"dddd")</f>
        <v>Friday</v>
      </c>
      <c r="V817" s="1" t="str">
        <f>TEXT(Table1[[#This Row],[Hiring Date]],"yyyy")</f>
        <v>2025</v>
      </c>
    </row>
    <row r="818" spans="1:22">
      <c r="A818" t="s">
        <v>48</v>
      </c>
      <c r="B818">
        <v>33</v>
      </c>
      <c r="C818">
        <v>924</v>
      </c>
      <c r="D818" t="s">
        <v>14</v>
      </c>
      <c r="E818" t="s">
        <v>1495</v>
      </c>
      <c r="F818" t="s">
        <v>1496</v>
      </c>
      <c r="G818">
        <v>78</v>
      </c>
      <c r="H818">
        <v>3</v>
      </c>
      <c r="I818">
        <v>1</v>
      </c>
      <c r="J818" t="s">
        <v>1484</v>
      </c>
      <c r="K818" t="s">
        <v>1485</v>
      </c>
      <c r="L818">
        <v>4</v>
      </c>
      <c r="M818" t="s">
        <v>12</v>
      </c>
      <c r="N818">
        <v>4</v>
      </c>
      <c r="O818" t="s">
        <v>13</v>
      </c>
      <c r="P818">
        <v>7</v>
      </c>
      <c r="Q818" s="4">
        <v>45918</v>
      </c>
      <c r="R818" s="4"/>
      <c r="S818" t="str">
        <f>TEXT(Table1[[#This Row],[Hiring Date]],"mmmm")</f>
        <v>September</v>
      </c>
      <c r="T818" s="1">
        <f>COUNTIF(S:S,Table1[[#This Row],[Months List]])</f>
        <v>0</v>
      </c>
      <c r="U818" t="str">
        <f>TEXT(Table1[[#This Row],[Hiring Date]],"dddd")</f>
        <v>Thursday</v>
      </c>
      <c r="V818" s="1" t="str">
        <f>TEXT(Table1[[#This Row],[Hiring Date]],"yyyy")</f>
        <v>2025</v>
      </c>
    </row>
    <row r="819" spans="1:22">
      <c r="A819" t="s">
        <v>417</v>
      </c>
      <c r="B819">
        <v>31</v>
      </c>
      <c r="C819">
        <v>329</v>
      </c>
      <c r="D819" t="s">
        <v>14</v>
      </c>
      <c r="E819" t="s">
        <v>1497</v>
      </c>
      <c r="F819" t="s">
        <v>1496</v>
      </c>
      <c r="G819">
        <v>98</v>
      </c>
      <c r="H819">
        <v>2</v>
      </c>
      <c r="I819">
        <v>1</v>
      </c>
      <c r="J819" t="s">
        <v>1484</v>
      </c>
      <c r="K819" t="s">
        <v>1485</v>
      </c>
      <c r="L819">
        <v>1</v>
      </c>
      <c r="M819" t="s">
        <v>15</v>
      </c>
      <c r="N819">
        <v>1</v>
      </c>
      <c r="O819" t="s">
        <v>13</v>
      </c>
      <c r="P819">
        <v>4</v>
      </c>
      <c r="Q819" s="4">
        <v>45812</v>
      </c>
      <c r="R819" s="4"/>
      <c r="S819" t="str">
        <f>TEXT(Table1[[#This Row],[Hiring Date]],"mmmm")</f>
        <v>June</v>
      </c>
      <c r="T819" s="1">
        <f>COUNTIF(S:S,Table1[[#This Row],[Months List]])</f>
        <v>0</v>
      </c>
      <c r="U819" t="str">
        <f>TEXT(Table1[[#This Row],[Hiring Date]],"dddd")</f>
        <v>Wednesday</v>
      </c>
      <c r="V819" s="1" t="str">
        <f>TEXT(Table1[[#This Row],[Hiring Date]],"yyyy")</f>
        <v>2025</v>
      </c>
    </row>
    <row r="820" spans="1:22">
      <c r="A820" t="s">
        <v>418</v>
      </c>
      <c r="B820">
        <v>39</v>
      </c>
      <c r="C820">
        <v>1218</v>
      </c>
      <c r="D820" t="s">
        <v>14</v>
      </c>
      <c r="E820" t="s">
        <v>1497</v>
      </c>
      <c r="F820" t="s">
        <v>1496</v>
      </c>
      <c r="G820">
        <v>52</v>
      </c>
      <c r="H820">
        <v>3</v>
      </c>
      <c r="I820">
        <v>5</v>
      </c>
      <c r="J820" t="s">
        <v>1482</v>
      </c>
      <c r="K820" t="s">
        <v>1483</v>
      </c>
      <c r="L820">
        <v>3</v>
      </c>
      <c r="M820" t="s">
        <v>16</v>
      </c>
      <c r="N820">
        <v>1</v>
      </c>
      <c r="O820" t="s">
        <v>10</v>
      </c>
      <c r="P820">
        <v>21</v>
      </c>
      <c r="Q820" s="4">
        <v>45890</v>
      </c>
      <c r="R820" s="4"/>
      <c r="S820" t="str">
        <f>TEXT(Table1[[#This Row],[Hiring Date]],"mmmm")</f>
        <v>August</v>
      </c>
      <c r="T820" s="1">
        <f>COUNTIF(S:S,Table1[[#This Row],[Months List]])</f>
        <v>0</v>
      </c>
      <c r="U820" t="str">
        <f>TEXT(Table1[[#This Row],[Hiring Date]],"dddd")</f>
        <v>Thursday</v>
      </c>
      <c r="V820" s="1" t="str">
        <f>TEXT(Table1[[#This Row],[Hiring Date]],"yyyy")</f>
        <v>2025</v>
      </c>
    </row>
    <row r="821" spans="1:22">
      <c r="A821" t="s">
        <v>419</v>
      </c>
      <c r="B821">
        <v>56</v>
      </c>
      <c r="C821">
        <v>906</v>
      </c>
      <c r="D821" t="s">
        <v>11</v>
      </c>
      <c r="E821" t="s">
        <v>1497</v>
      </c>
      <c r="F821" t="s">
        <v>1499</v>
      </c>
      <c r="G821">
        <v>86</v>
      </c>
      <c r="H821">
        <v>4</v>
      </c>
      <c r="I821">
        <v>4</v>
      </c>
      <c r="J821" t="s">
        <v>1474</v>
      </c>
      <c r="K821" t="s">
        <v>1475</v>
      </c>
      <c r="L821">
        <v>1</v>
      </c>
      <c r="M821" t="s">
        <v>15</v>
      </c>
      <c r="N821">
        <v>9</v>
      </c>
      <c r="O821" t="s">
        <v>13</v>
      </c>
      <c r="P821">
        <v>36</v>
      </c>
      <c r="Q821" s="4">
        <v>45802</v>
      </c>
      <c r="R821" s="4"/>
      <c r="S821" t="str">
        <f>TEXT(Table1[[#This Row],[Hiring Date]],"mmmm")</f>
        <v>May</v>
      </c>
      <c r="T821" s="1">
        <f>COUNTIF(S:S,Table1[[#This Row],[Months List]])</f>
        <v>0</v>
      </c>
      <c r="U821" t="str">
        <f>TEXT(Table1[[#This Row],[Hiring Date]],"dddd")</f>
        <v>Sunday</v>
      </c>
      <c r="V821" s="1" t="str">
        <f>TEXT(Table1[[#This Row],[Hiring Date]],"yyyy")</f>
        <v>2025</v>
      </c>
    </row>
    <row r="822" spans="1:22">
      <c r="A822" t="s">
        <v>420</v>
      </c>
      <c r="B822">
        <v>30</v>
      </c>
      <c r="C822">
        <v>1082</v>
      </c>
      <c r="D822" t="s">
        <v>11</v>
      </c>
      <c r="E822" t="s">
        <v>1501</v>
      </c>
      <c r="F822" t="s">
        <v>1499</v>
      </c>
      <c r="G822">
        <v>83</v>
      </c>
      <c r="H822">
        <v>3</v>
      </c>
      <c r="I822">
        <v>2</v>
      </c>
      <c r="J822" t="s">
        <v>1474</v>
      </c>
      <c r="K822" t="s">
        <v>1475</v>
      </c>
      <c r="L822">
        <v>3</v>
      </c>
      <c r="M822" t="s">
        <v>12</v>
      </c>
      <c r="N822">
        <v>0</v>
      </c>
      <c r="O822" t="s">
        <v>13</v>
      </c>
      <c r="P822">
        <v>6</v>
      </c>
      <c r="Q822" s="4">
        <v>45721</v>
      </c>
      <c r="R822" s="4"/>
      <c r="S822" t="str">
        <f>TEXT(Table1[[#This Row],[Hiring Date]],"mmmm")</f>
        <v>March</v>
      </c>
      <c r="T822" s="1">
        <f>COUNTIF(S:S,Table1[[#This Row],[Months List]])</f>
        <v>0</v>
      </c>
      <c r="U822" t="str">
        <f>TEXT(Table1[[#This Row],[Hiring Date]],"dddd")</f>
        <v>Wednesday</v>
      </c>
      <c r="V822" s="1" t="str">
        <f>TEXT(Table1[[#This Row],[Hiring Date]],"yyyy")</f>
        <v>2025</v>
      </c>
    </row>
    <row r="823" spans="1:22">
      <c r="A823" t="s">
        <v>421</v>
      </c>
      <c r="B823">
        <v>41</v>
      </c>
      <c r="C823">
        <v>645</v>
      </c>
      <c r="D823" t="s">
        <v>11</v>
      </c>
      <c r="E823" t="s">
        <v>1498</v>
      </c>
      <c r="F823" t="s">
        <v>1496</v>
      </c>
      <c r="G823">
        <v>49</v>
      </c>
      <c r="H823">
        <v>4</v>
      </c>
      <c r="I823">
        <v>3</v>
      </c>
      <c r="J823" t="s">
        <v>1474</v>
      </c>
      <c r="K823" t="s">
        <v>1475</v>
      </c>
      <c r="L823">
        <v>1</v>
      </c>
      <c r="M823" t="s">
        <v>15</v>
      </c>
      <c r="N823">
        <v>1</v>
      </c>
      <c r="O823" t="s">
        <v>13</v>
      </c>
      <c r="P823">
        <v>10</v>
      </c>
      <c r="Q823" s="4">
        <v>45669</v>
      </c>
      <c r="R823" s="4"/>
      <c r="S823" t="str">
        <f>TEXT(Table1[[#This Row],[Hiring Date]],"mmmm")</f>
        <v>January</v>
      </c>
      <c r="T823" s="1">
        <f>COUNTIF(S:S,Table1[[#This Row],[Months List]])</f>
        <v>0</v>
      </c>
      <c r="U823" t="str">
        <f>TEXT(Table1[[#This Row],[Hiring Date]],"dddd")</f>
        <v>Sunday</v>
      </c>
      <c r="V823" s="1" t="str">
        <f>TEXT(Table1[[#This Row],[Hiring Date]],"yyyy")</f>
        <v>2025</v>
      </c>
    </row>
    <row r="824" spans="1:22">
      <c r="A824" t="s">
        <v>422</v>
      </c>
      <c r="B824">
        <v>28</v>
      </c>
      <c r="C824">
        <v>1300</v>
      </c>
      <c r="D824" t="s">
        <v>14</v>
      </c>
      <c r="E824" t="s">
        <v>1495</v>
      </c>
      <c r="F824" t="s">
        <v>1496</v>
      </c>
      <c r="G824">
        <v>79</v>
      </c>
      <c r="H824">
        <v>3</v>
      </c>
      <c r="I824">
        <v>2</v>
      </c>
      <c r="J824" t="s">
        <v>1484</v>
      </c>
      <c r="K824" t="s">
        <v>1485</v>
      </c>
      <c r="L824">
        <v>1</v>
      </c>
      <c r="M824" t="s">
        <v>16</v>
      </c>
      <c r="N824">
        <v>1</v>
      </c>
      <c r="O824" t="s">
        <v>13</v>
      </c>
      <c r="P824">
        <v>10</v>
      </c>
      <c r="Q824" s="4">
        <v>45886</v>
      </c>
      <c r="R824" s="4"/>
      <c r="S824" t="str">
        <f>TEXT(Table1[[#This Row],[Hiring Date]],"mmmm")</f>
        <v>August</v>
      </c>
      <c r="T824" s="1">
        <f>COUNTIF(S:S,Table1[[#This Row],[Months List]])</f>
        <v>0</v>
      </c>
      <c r="U824" t="str">
        <f>TEXT(Table1[[#This Row],[Hiring Date]],"dddd")</f>
        <v>Sunday</v>
      </c>
      <c r="V824" s="1" t="str">
        <f>TEXT(Table1[[#This Row],[Hiring Date]],"yyyy")</f>
        <v>2025</v>
      </c>
    </row>
    <row r="825" spans="1:22">
      <c r="A825" t="s">
        <v>423</v>
      </c>
      <c r="B825">
        <v>25</v>
      </c>
      <c r="C825">
        <v>688</v>
      </c>
      <c r="D825" t="s">
        <v>14</v>
      </c>
      <c r="E825" t="s">
        <v>1495</v>
      </c>
      <c r="F825" t="s">
        <v>1496</v>
      </c>
      <c r="G825">
        <v>91</v>
      </c>
      <c r="H825">
        <v>3</v>
      </c>
      <c r="I825">
        <v>1</v>
      </c>
      <c r="J825" t="s">
        <v>1484</v>
      </c>
      <c r="K825" t="s">
        <v>1485</v>
      </c>
      <c r="L825">
        <v>1</v>
      </c>
      <c r="M825" t="s">
        <v>15</v>
      </c>
      <c r="N825">
        <v>5</v>
      </c>
      <c r="O825" t="s">
        <v>13</v>
      </c>
      <c r="P825">
        <v>6</v>
      </c>
      <c r="Q825" s="4">
        <v>45704</v>
      </c>
      <c r="R825" s="4"/>
      <c r="S825" t="str">
        <f>TEXT(Table1[[#This Row],[Hiring Date]],"mmmm")</f>
        <v>February</v>
      </c>
      <c r="T825" s="1">
        <f>COUNTIF(S:S,Table1[[#This Row],[Months List]])</f>
        <v>0</v>
      </c>
      <c r="U825" t="str">
        <f>TEXT(Table1[[#This Row],[Hiring Date]],"dddd")</f>
        <v>Sunday</v>
      </c>
      <c r="V825" s="1" t="str">
        <f>TEXT(Table1[[#This Row],[Hiring Date]],"yyyy")</f>
        <v>2025</v>
      </c>
    </row>
    <row r="826" spans="1:22">
      <c r="A826" t="s">
        <v>424</v>
      </c>
      <c r="B826">
        <v>52</v>
      </c>
      <c r="C826">
        <v>319</v>
      </c>
      <c r="D826" t="s">
        <v>14</v>
      </c>
      <c r="E826" t="s">
        <v>1495</v>
      </c>
      <c r="F826" t="s">
        <v>1496</v>
      </c>
      <c r="G826">
        <v>39</v>
      </c>
      <c r="H826">
        <v>2</v>
      </c>
      <c r="I826">
        <v>3</v>
      </c>
      <c r="J826" t="s">
        <v>1480</v>
      </c>
      <c r="K826" t="s">
        <v>1481</v>
      </c>
      <c r="L826">
        <v>3</v>
      </c>
      <c r="M826" t="s">
        <v>15</v>
      </c>
      <c r="N826">
        <v>2</v>
      </c>
      <c r="O826" t="s">
        <v>10</v>
      </c>
      <c r="P826">
        <v>28</v>
      </c>
      <c r="Q826" s="4">
        <v>45778</v>
      </c>
      <c r="R826" s="4"/>
      <c r="S826" t="str">
        <f>TEXT(Table1[[#This Row],[Hiring Date]],"mmmm")</f>
        <v>May</v>
      </c>
      <c r="T826" s="1">
        <f>COUNTIF(S:S,Table1[[#This Row],[Months List]])</f>
        <v>0</v>
      </c>
      <c r="U826" t="str">
        <f>TEXT(Table1[[#This Row],[Hiring Date]],"dddd")</f>
        <v>Thursday</v>
      </c>
      <c r="V826" s="1" t="str">
        <f>TEXT(Table1[[#This Row],[Hiring Date]],"yyyy")</f>
        <v>2025</v>
      </c>
    </row>
    <row r="827" spans="1:22">
      <c r="A827" t="s">
        <v>425</v>
      </c>
      <c r="B827">
        <v>45</v>
      </c>
      <c r="C827">
        <v>192</v>
      </c>
      <c r="D827" t="s">
        <v>14</v>
      </c>
      <c r="E827" t="s">
        <v>1497</v>
      </c>
      <c r="F827" t="s">
        <v>1496</v>
      </c>
      <c r="G827">
        <v>69</v>
      </c>
      <c r="H827">
        <v>3</v>
      </c>
      <c r="I827">
        <v>1</v>
      </c>
      <c r="J827" t="s">
        <v>1476</v>
      </c>
      <c r="K827" t="s">
        <v>1477</v>
      </c>
      <c r="L827">
        <v>4</v>
      </c>
      <c r="M827" t="s">
        <v>15</v>
      </c>
      <c r="N827">
        <v>3</v>
      </c>
      <c r="O827" t="s">
        <v>13</v>
      </c>
      <c r="P827">
        <v>8</v>
      </c>
      <c r="Q827" s="4">
        <v>45833</v>
      </c>
      <c r="R827" s="4"/>
      <c r="S827" t="str">
        <f>TEXT(Table1[[#This Row],[Hiring Date]],"mmmm")</f>
        <v>June</v>
      </c>
      <c r="T827" s="1">
        <f>COUNTIF(S:S,Table1[[#This Row],[Months List]])</f>
        <v>0</v>
      </c>
      <c r="U827" t="str">
        <f>TEXT(Table1[[#This Row],[Hiring Date]],"dddd")</f>
        <v>Wednesday</v>
      </c>
      <c r="V827" s="1" t="str">
        <f>TEXT(Table1[[#This Row],[Hiring Date]],"yyyy")</f>
        <v>2025</v>
      </c>
    </row>
    <row r="828" spans="1:22">
      <c r="A828" t="s">
        <v>426</v>
      </c>
      <c r="B828">
        <v>52</v>
      </c>
      <c r="C828">
        <v>1490</v>
      </c>
      <c r="D828" t="s">
        <v>14</v>
      </c>
      <c r="E828" t="s">
        <v>1497</v>
      </c>
      <c r="F828" t="s">
        <v>1499</v>
      </c>
      <c r="G828">
        <v>30</v>
      </c>
      <c r="H828">
        <v>3</v>
      </c>
      <c r="I828">
        <v>4</v>
      </c>
      <c r="J828" t="s">
        <v>1482</v>
      </c>
      <c r="K828" t="s">
        <v>1483</v>
      </c>
      <c r="L828">
        <v>4</v>
      </c>
      <c r="M828" t="s">
        <v>15</v>
      </c>
      <c r="N828">
        <v>2</v>
      </c>
      <c r="O828" t="s">
        <v>13</v>
      </c>
      <c r="P828">
        <v>31</v>
      </c>
      <c r="Q828" s="4">
        <v>45969</v>
      </c>
      <c r="R828" s="4"/>
      <c r="S828" t="str">
        <f>TEXT(Table1[[#This Row],[Hiring Date]],"mmmm")</f>
        <v>November</v>
      </c>
      <c r="T828" s="1">
        <f>COUNTIF(S:S,Table1[[#This Row],[Months List]])</f>
        <v>0</v>
      </c>
      <c r="U828" t="str">
        <f>TEXT(Table1[[#This Row],[Hiring Date]],"dddd")</f>
        <v>Saturday</v>
      </c>
      <c r="V828" s="1" t="str">
        <f>TEXT(Table1[[#This Row],[Hiring Date]],"yyyy")</f>
        <v>2025</v>
      </c>
    </row>
    <row r="829" spans="1:22">
      <c r="A829" t="s">
        <v>49</v>
      </c>
      <c r="B829">
        <v>44</v>
      </c>
      <c r="C829">
        <v>1459</v>
      </c>
      <c r="D829" t="s">
        <v>14</v>
      </c>
      <c r="E829" t="s">
        <v>1500</v>
      </c>
      <c r="F829" t="s">
        <v>1496</v>
      </c>
      <c r="G829">
        <v>41</v>
      </c>
      <c r="H829">
        <v>3</v>
      </c>
      <c r="I829">
        <v>2</v>
      </c>
      <c r="J829" t="s">
        <v>1478</v>
      </c>
      <c r="K829" t="s">
        <v>1479</v>
      </c>
      <c r="L829">
        <v>4</v>
      </c>
      <c r="M829" t="s">
        <v>15</v>
      </c>
      <c r="N829">
        <v>2</v>
      </c>
      <c r="O829" t="s">
        <v>10</v>
      </c>
      <c r="P829">
        <v>9</v>
      </c>
      <c r="Q829" s="4">
        <v>45707</v>
      </c>
      <c r="R829" s="4"/>
      <c r="S829" t="str">
        <f>TEXT(Table1[[#This Row],[Hiring Date]],"mmmm")</f>
        <v>February</v>
      </c>
      <c r="T829" s="1">
        <f>COUNTIF(S:S,Table1[[#This Row],[Months List]])</f>
        <v>0</v>
      </c>
      <c r="U829" t="str">
        <f>TEXT(Table1[[#This Row],[Hiring Date]],"dddd")</f>
        <v>Wednesday</v>
      </c>
      <c r="V829" s="1" t="str">
        <f>TEXT(Table1[[#This Row],[Hiring Date]],"yyyy")</f>
        <v>2025</v>
      </c>
    </row>
    <row r="830" spans="1:22">
      <c r="A830" t="s">
        <v>427</v>
      </c>
      <c r="B830">
        <v>42</v>
      </c>
      <c r="C830">
        <v>532</v>
      </c>
      <c r="D830" t="s">
        <v>14</v>
      </c>
      <c r="E830" t="s">
        <v>1497</v>
      </c>
      <c r="F830" t="s">
        <v>1499</v>
      </c>
      <c r="G830">
        <v>92</v>
      </c>
      <c r="H830">
        <v>3</v>
      </c>
      <c r="I830">
        <v>2</v>
      </c>
      <c r="J830" t="s">
        <v>1476</v>
      </c>
      <c r="K830" t="s">
        <v>1477</v>
      </c>
      <c r="L830">
        <v>3</v>
      </c>
      <c r="M830" t="s">
        <v>16</v>
      </c>
      <c r="N830">
        <v>2</v>
      </c>
      <c r="O830" t="s">
        <v>13</v>
      </c>
      <c r="P830">
        <v>19</v>
      </c>
      <c r="Q830" s="4">
        <v>45702</v>
      </c>
      <c r="R830" s="4"/>
      <c r="S830" t="str">
        <f>TEXT(Table1[[#This Row],[Hiring Date]],"mmmm")</f>
        <v>February</v>
      </c>
      <c r="T830" s="1">
        <f>COUNTIF(S:S,Table1[[#This Row],[Months List]])</f>
        <v>0</v>
      </c>
      <c r="U830" t="str">
        <f>TEXT(Table1[[#This Row],[Hiring Date]],"dddd")</f>
        <v>Friday</v>
      </c>
      <c r="V830" s="1" t="str">
        <f>TEXT(Table1[[#This Row],[Hiring Date]],"yyyy")</f>
        <v>2025</v>
      </c>
    </row>
    <row r="831" spans="1:22">
      <c r="A831" t="s">
        <v>428</v>
      </c>
      <c r="B831">
        <v>30</v>
      </c>
      <c r="C831">
        <v>317</v>
      </c>
      <c r="D831" t="s">
        <v>14</v>
      </c>
      <c r="E831" t="s">
        <v>1497</v>
      </c>
      <c r="F831" t="s">
        <v>1499</v>
      </c>
      <c r="G831">
        <v>43</v>
      </c>
      <c r="H831">
        <v>1</v>
      </c>
      <c r="I831">
        <v>2</v>
      </c>
      <c r="J831" t="s">
        <v>1480</v>
      </c>
      <c r="K831" t="s">
        <v>1481</v>
      </c>
      <c r="L831">
        <v>4</v>
      </c>
      <c r="M831" t="s">
        <v>12</v>
      </c>
      <c r="N831">
        <v>2</v>
      </c>
      <c r="O831" t="s">
        <v>13</v>
      </c>
      <c r="P831">
        <v>11</v>
      </c>
      <c r="Q831" s="4">
        <v>45817</v>
      </c>
      <c r="R831" s="4"/>
      <c r="S831" t="str">
        <f>TEXT(Table1[[#This Row],[Hiring Date]],"mmmm")</f>
        <v>June</v>
      </c>
      <c r="T831" s="1">
        <f>COUNTIF(S:S,Table1[[#This Row],[Months List]])</f>
        <v>0</v>
      </c>
      <c r="U831" t="str">
        <f>TEXT(Table1[[#This Row],[Hiring Date]],"dddd")</f>
        <v>Monday</v>
      </c>
      <c r="V831" s="1" t="str">
        <f>TEXT(Table1[[#This Row],[Hiring Date]],"yyyy")</f>
        <v>2025</v>
      </c>
    </row>
    <row r="832" spans="1:22">
      <c r="A832" t="s">
        <v>429</v>
      </c>
      <c r="B832">
        <v>60</v>
      </c>
      <c r="C832">
        <v>422</v>
      </c>
      <c r="D832" t="s">
        <v>14</v>
      </c>
      <c r="E832" t="s">
        <v>1497</v>
      </c>
      <c r="F832" t="s">
        <v>1499</v>
      </c>
      <c r="G832">
        <v>41</v>
      </c>
      <c r="H832">
        <v>3</v>
      </c>
      <c r="I832">
        <v>5</v>
      </c>
      <c r="J832" t="s">
        <v>1482</v>
      </c>
      <c r="K832" t="s">
        <v>1483</v>
      </c>
      <c r="L832">
        <v>1</v>
      </c>
      <c r="M832" t="s">
        <v>15</v>
      </c>
      <c r="N832">
        <v>5</v>
      </c>
      <c r="O832" t="s">
        <v>13</v>
      </c>
      <c r="P832">
        <v>33</v>
      </c>
      <c r="Q832" s="4">
        <v>45969</v>
      </c>
      <c r="R832" s="4"/>
      <c r="S832" t="str">
        <f>TEXT(Table1[[#This Row],[Hiring Date]],"mmmm")</f>
        <v>November</v>
      </c>
      <c r="T832" s="1">
        <f>COUNTIF(S:S,Table1[[#This Row],[Months List]])</f>
        <v>0</v>
      </c>
      <c r="U832" t="str">
        <f>TEXT(Table1[[#This Row],[Hiring Date]],"dddd")</f>
        <v>Saturday</v>
      </c>
      <c r="V832" s="1" t="str">
        <f>TEXT(Table1[[#This Row],[Hiring Date]],"yyyy")</f>
        <v>2025</v>
      </c>
    </row>
    <row r="833" spans="1:22">
      <c r="A833" t="s">
        <v>430</v>
      </c>
      <c r="B833">
        <v>46</v>
      </c>
      <c r="C833">
        <v>1485</v>
      </c>
      <c r="D833" t="s">
        <v>14</v>
      </c>
      <c r="E833" t="s">
        <v>1495</v>
      </c>
      <c r="F833" t="s">
        <v>1499</v>
      </c>
      <c r="G833">
        <v>87</v>
      </c>
      <c r="H833">
        <v>3</v>
      </c>
      <c r="I833">
        <v>2</v>
      </c>
      <c r="J833" t="s">
        <v>1480</v>
      </c>
      <c r="K833" t="s">
        <v>1481</v>
      </c>
      <c r="L833">
        <v>3</v>
      </c>
      <c r="M833" t="s">
        <v>16</v>
      </c>
      <c r="N833">
        <v>2</v>
      </c>
      <c r="O833" t="s">
        <v>13</v>
      </c>
      <c r="P833">
        <v>19</v>
      </c>
      <c r="Q833" s="4">
        <v>45723</v>
      </c>
      <c r="R833" s="4"/>
      <c r="S833" t="str">
        <f>TEXT(Table1[[#This Row],[Hiring Date]],"mmmm")</f>
        <v>March</v>
      </c>
      <c r="T833" s="1">
        <f>COUNTIF(S:S,Table1[[#This Row],[Months List]])</f>
        <v>0</v>
      </c>
      <c r="U833" t="str">
        <f>TEXT(Table1[[#This Row],[Hiring Date]],"dddd")</f>
        <v>Friday</v>
      </c>
      <c r="V833" s="1" t="str">
        <f>TEXT(Table1[[#This Row],[Hiring Date]],"yyyy")</f>
        <v>2025</v>
      </c>
    </row>
    <row r="834" spans="1:22">
      <c r="A834" t="s">
        <v>431</v>
      </c>
      <c r="B834">
        <v>42</v>
      </c>
      <c r="C834">
        <v>1368</v>
      </c>
      <c r="D834" t="s">
        <v>14</v>
      </c>
      <c r="E834" t="s">
        <v>1501</v>
      </c>
      <c r="F834" t="s">
        <v>1499</v>
      </c>
      <c r="G834">
        <v>88</v>
      </c>
      <c r="H834">
        <v>2</v>
      </c>
      <c r="I834">
        <v>2</v>
      </c>
      <c r="J834" t="s">
        <v>1478</v>
      </c>
      <c r="K834" t="s">
        <v>1479</v>
      </c>
      <c r="L834">
        <v>4</v>
      </c>
      <c r="M834" t="s">
        <v>15</v>
      </c>
      <c r="N834">
        <v>0</v>
      </c>
      <c r="O834" t="s">
        <v>13</v>
      </c>
      <c r="P834">
        <v>7</v>
      </c>
      <c r="Q834" s="4">
        <v>45977</v>
      </c>
      <c r="R834" s="4"/>
      <c r="S834" t="str">
        <f>TEXT(Table1[[#This Row],[Hiring Date]],"mmmm")</f>
        <v>November</v>
      </c>
      <c r="T834" s="1">
        <f>COUNTIF(S:S,Table1[[#This Row],[Months List]])</f>
        <v>0</v>
      </c>
      <c r="U834" t="str">
        <f>TEXT(Table1[[#This Row],[Hiring Date]],"dddd")</f>
        <v>Sunday</v>
      </c>
      <c r="V834" s="1" t="str">
        <f>TEXT(Table1[[#This Row],[Hiring Date]],"yyyy")</f>
        <v>2025</v>
      </c>
    </row>
    <row r="835" spans="1:22">
      <c r="A835" t="s">
        <v>432</v>
      </c>
      <c r="B835">
        <v>24</v>
      </c>
      <c r="C835">
        <v>1448</v>
      </c>
      <c r="D835" t="s">
        <v>11</v>
      </c>
      <c r="E835" t="s">
        <v>1501</v>
      </c>
      <c r="F835" t="s">
        <v>1499</v>
      </c>
      <c r="G835">
        <v>62</v>
      </c>
      <c r="H835">
        <v>3</v>
      </c>
      <c r="I835">
        <v>1</v>
      </c>
      <c r="J835" t="s">
        <v>1489</v>
      </c>
      <c r="K835" t="s">
        <v>1490</v>
      </c>
      <c r="L835">
        <v>2</v>
      </c>
      <c r="M835" t="s">
        <v>12</v>
      </c>
      <c r="N835">
        <v>1</v>
      </c>
      <c r="O835" t="s">
        <v>10</v>
      </c>
      <c r="P835">
        <v>6</v>
      </c>
      <c r="Q835" s="4">
        <v>45986</v>
      </c>
      <c r="R835" s="4"/>
      <c r="S835" t="str">
        <f>TEXT(Table1[[#This Row],[Hiring Date]],"mmmm")</f>
        <v>November</v>
      </c>
      <c r="T835" s="1">
        <f>COUNTIF(S:S,Table1[[#This Row],[Months List]])</f>
        <v>0</v>
      </c>
      <c r="U835" t="str">
        <f>TEXT(Table1[[#This Row],[Hiring Date]],"dddd")</f>
        <v>Tuesday</v>
      </c>
      <c r="V835" s="1" t="str">
        <f>TEXT(Table1[[#This Row],[Hiring Date]],"yyyy")</f>
        <v>2025</v>
      </c>
    </row>
    <row r="836" spans="1:22">
      <c r="A836" t="s">
        <v>433</v>
      </c>
      <c r="B836">
        <v>34</v>
      </c>
      <c r="C836">
        <v>296</v>
      </c>
      <c r="D836" t="s">
        <v>11</v>
      </c>
      <c r="E836" t="s">
        <v>1498</v>
      </c>
      <c r="F836" t="s">
        <v>1499</v>
      </c>
      <c r="G836">
        <v>33</v>
      </c>
      <c r="H836">
        <v>1</v>
      </c>
      <c r="I836">
        <v>1</v>
      </c>
      <c r="J836" t="s">
        <v>1489</v>
      </c>
      <c r="K836" t="s">
        <v>1490</v>
      </c>
      <c r="L836">
        <v>3</v>
      </c>
      <c r="M836" t="s">
        <v>16</v>
      </c>
      <c r="N836">
        <v>0</v>
      </c>
      <c r="O836" t="s">
        <v>13</v>
      </c>
      <c r="P836">
        <v>3</v>
      </c>
      <c r="Q836" s="4">
        <v>45966</v>
      </c>
      <c r="R836" s="4"/>
      <c r="S836" t="str">
        <f>TEXT(Table1[[#This Row],[Hiring Date]],"mmmm")</f>
        <v>November</v>
      </c>
      <c r="T836" s="1">
        <f>COUNTIF(S:S,Table1[[#This Row],[Months List]])</f>
        <v>0</v>
      </c>
      <c r="U836" t="str">
        <f>TEXT(Table1[[#This Row],[Hiring Date]],"dddd")</f>
        <v>Wednesday</v>
      </c>
      <c r="V836" s="1" t="str">
        <f>TEXT(Table1[[#This Row],[Hiring Date]],"yyyy")</f>
        <v>2025</v>
      </c>
    </row>
    <row r="837" spans="1:22">
      <c r="A837" t="s">
        <v>434</v>
      </c>
      <c r="B837">
        <v>38</v>
      </c>
      <c r="C837">
        <v>1490</v>
      </c>
      <c r="D837" t="s">
        <v>14</v>
      </c>
      <c r="E837" t="s">
        <v>1497</v>
      </c>
      <c r="F837" t="s">
        <v>1496</v>
      </c>
      <c r="G837">
        <v>42</v>
      </c>
      <c r="H837">
        <v>3</v>
      </c>
      <c r="I837">
        <v>1</v>
      </c>
      <c r="J837" t="s">
        <v>1484</v>
      </c>
      <c r="K837" t="s">
        <v>1485</v>
      </c>
      <c r="L837">
        <v>4</v>
      </c>
      <c r="M837" t="s">
        <v>15</v>
      </c>
      <c r="N837">
        <v>1</v>
      </c>
      <c r="O837" t="s">
        <v>10</v>
      </c>
      <c r="P837">
        <v>1</v>
      </c>
      <c r="Q837" s="4">
        <v>45960</v>
      </c>
      <c r="R837" s="4"/>
      <c r="S837" t="str">
        <f>TEXT(Table1[[#This Row],[Hiring Date]],"mmmm")</f>
        <v>October</v>
      </c>
      <c r="T837" s="1">
        <f>COUNTIF(S:S,Table1[[#This Row],[Months List]])</f>
        <v>0</v>
      </c>
      <c r="U837" t="str">
        <f>TEXT(Table1[[#This Row],[Hiring Date]],"dddd")</f>
        <v>Thursday</v>
      </c>
      <c r="V837" s="1" t="str">
        <f>TEXT(Table1[[#This Row],[Hiring Date]],"yyyy")</f>
        <v>2025</v>
      </c>
    </row>
    <row r="838" spans="1:22">
      <c r="A838" t="s">
        <v>435</v>
      </c>
      <c r="B838">
        <v>40</v>
      </c>
      <c r="C838">
        <v>1398</v>
      </c>
      <c r="D838" t="s">
        <v>11</v>
      </c>
      <c r="E838" t="s">
        <v>1497</v>
      </c>
      <c r="F838" t="s">
        <v>1499</v>
      </c>
      <c r="G838">
        <v>79</v>
      </c>
      <c r="H838">
        <v>3</v>
      </c>
      <c r="I838">
        <v>5</v>
      </c>
      <c r="J838" t="s">
        <v>1482</v>
      </c>
      <c r="K838" t="s">
        <v>1483</v>
      </c>
      <c r="L838">
        <v>3</v>
      </c>
      <c r="M838" t="s">
        <v>15</v>
      </c>
      <c r="N838">
        <v>0</v>
      </c>
      <c r="O838" t="s">
        <v>13</v>
      </c>
      <c r="P838">
        <v>21</v>
      </c>
      <c r="Q838" s="4">
        <v>45694</v>
      </c>
      <c r="R838" s="4"/>
      <c r="S838" t="str">
        <f>TEXT(Table1[[#This Row],[Hiring Date]],"mmmm")</f>
        <v>February</v>
      </c>
      <c r="T838" s="1">
        <f>COUNTIF(S:S,Table1[[#This Row],[Months List]])</f>
        <v>0</v>
      </c>
      <c r="U838" t="str">
        <f>TEXT(Table1[[#This Row],[Hiring Date]],"dddd")</f>
        <v>Thursday</v>
      </c>
      <c r="V838" s="1" t="str">
        <f>TEXT(Table1[[#This Row],[Hiring Date]],"yyyy")</f>
        <v>2025</v>
      </c>
    </row>
    <row r="839" spans="1:22">
      <c r="A839" t="s">
        <v>436</v>
      </c>
      <c r="B839">
        <v>26</v>
      </c>
      <c r="C839">
        <v>1349</v>
      </c>
      <c r="D839" t="s">
        <v>14</v>
      </c>
      <c r="E839" t="s">
        <v>1497</v>
      </c>
      <c r="F839" t="s">
        <v>1499</v>
      </c>
      <c r="G839">
        <v>90</v>
      </c>
      <c r="H839">
        <v>3</v>
      </c>
      <c r="I839">
        <v>1</v>
      </c>
      <c r="J839" t="s">
        <v>1476</v>
      </c>
      <c r="K839" t="s">
        <v>1477</v>
      </c>
      <c r="L839">
        <v>4</v>
      </c>
      <c r="M839" t="s">
        <v>16</v>
      </c>
      <c r="N839">
        <v>1</v>
      </c>
      <c r="O839" t="s">
        <v>13</v>
      </c>
      <c r="P839">
        <v>3</v>
      </c>
      <c r="Q839" s="4">
        <v>45990</v>
      </c>
      <c r="R839" s="4"/>
      <c r="S839" t="str">
        <f>TEXT(Table1[[#This Row],[Hiring Date]],"mmmm")</f>
        <v>November</v>
      </c>
      <c r="T839" s="1">
        <f>COUNTIF(S:S,Table1[[#This Row],[Months List]])</f>
        <v>0</v>
      </c>
      <c r="U839" t="str">
        <f>TEXT(Table1[[#This Row],[Hiring Date]],"dddd")</f>
        <v>Saturday</v>
      </c>
      <c r="V839" s="1" t="str">
        <f>TEXT(Table1[[#This Row],[Hiring Date]],"yyyy")</f>
        <v>2025</v>
      </c>
    </row>
    <row r="840" spans="1:22">
      <c r="A840" t="s">
        <v>50</v>
      </c>
      <c r="B840">
        <v>30</v>
      </c>
      <c r="C840">
        <v>125</v>
      </c>
      <c r="D840" t="s">
        <v>14</v>
      </c>
      <c r="E840" t="s">
        <v>1495</v>
      </c>
      <c r="F840" t="s">
        <v>1496</v>
      </c>
      <c r="G840">
        <v>83</v>
      </c>
      <c r="H840">
        <v>2</v>
      </c>
      <c r="I840">
        <v>1</v>
      </c>
      <c r="J840" t="s">
        <v>1484</v>
      </c>
      <c r="K840" t="s">
        <v>1485</v>
      </c>
      <c r="L840">
        <v>3</v>
      </c>
      <c r="M840" t="s">
        <v>12</v>
      </c>
      <c r="N840">
        <v>1</v>
      </c>
      <c r="O840" t="s">
        <v>13</v>
      </c>
      <c r="P840">
        <v>10</v>
      </c>
      <c r="Q840" s="4">
        <v>45746</v>
      </c>
      <c r="R840" s="4"/>
      <c r="S840" t="str">
        <f>TEXT(Table1[[#This Row],[Hiring Date]],"mmmm")</f>
        <v>March</v>
      </c>
      <c r="T840" s="1">
        <f>COUNTIF(S:S,Table1[[#This Row],[Months List]])</f>
        <v>0</v>
      </c>
      <c r="U840" t="str">
        <f>TEXT(Table1[[#This Row],[Hiring Date]],"dddd")</f>
        <v>Sunday</v>
      </c>
      <c r="V840" s="1" t="str">
        <f>TEXT(Table1[[#This Row],[Hiring Date]],"yyyy")</f>
        <v>2025</v>
      </c>
    </row>
    <row r="841" spans="1:22">
      <c r="A841" t="s">
        <v>437</v>
      </c>
      <c r="B841">
        <v>30</v>
      </c>
      <c r="C841">
        <v>1400</v>
      </c>
      <c r="D841" t="s">
        <v>14</v>
      </c>
      <c r="E841" t="s">
        <v>1497</v>
      </c>
      <c r="F841" t="s">
        <v>1496</v>
      </c>
      <c r="G841">
        <v>53</v>
      </c>
      <c r="H841">
        <v>3</v>
      </c>
      <c r="I841">
        <v>1</v>
      </c>
      <c r="J841" t="s">
        <v>1484</v>
      </c>
      <c r="K841" t="s">
        <v>1485</v>
      </c>
      <c r="L841">
        <v>4</v>
      </c>
      <c r="M841" t="s">
        <v>15</v>
      </c>
      <c r="N841">
        <v>4</v>
      </c>
      <c r="O841" t="s">
        <v>13</v>
      </c>
      <c r="P841">
        <v>9</v>
      </c>
      <c r="Q841" s="4">
        <v>45994</v>
      </c>
      <c r="R841" s="4"/>
      <c r="S841" t="str">
        <f>TEXT(Table1[[#This Row],[Hiring Date]],"mmmm")</f>
        <v>December</v>
      </c>
      <c r="T841" s="1">
        <f>COUNTIF(S:S,Table1[[#This Row],[Months List]])</f>
        <v>0</v>
      </c>
      <c r="U841" t="str">
        <f>TEXT(Table1[[#This Row],[Hiring Date]],"dddd")</f>
        <v>Wednesday</v>
      </c>
      <c r="V841" s="1" t="str">
        <f>TEXT(Table1[[#This Row],[Hiring Date]],"yyyy")</f>
        <v>2025</v>
      </c>
    </row>
    <row r="842" spans="1:22">
      <c r="A842" t="s">
        <v>438</v>
      </c>
      <c r="B842">
        <v>29</v>
      </c>
      <c r="C842">
        <v>986</v>
      </c>
      <c r="D842" t="s">
        <v>14</v>
      </c>
      <c r="E842" t="s">
        <v>1495</v>
      </c>
      <c r="F842" t="s">
        <v>1496</v>
      </c>
      <c r="G842">
        <v>93</v>
      </c>
      <c r="H842">
        <v>2</v>
      </c>
      <c r="I842">
        <v>3</v>
      </c>
      <c r="J842" t="s">
        <v>1487</v>
      </c>
      <c r="K842" t="s">
        <v>1488</v>
      </c>
      <c r="L842">
        <v>3</v>
      </c>
      <c r="M842" t="s">
        <v>15</v>
      </c>
      <c r="N842">
        <v>1</v>
      </c>
      <c r="O842" t="s">
        <v>13</v>
      </c>
      <c r="P842">
        <v>10</v>
      </c>
      <c r="Q842" s="4">
        <v>45684</v>
      </c>
      <c r="R842" s="4"/>
      <c r="S842" t="str">
        <f>TEXT(Table1[[#This Row],[Hiring Date]],"mmmm")</f>
        <v>January</v>
      </c>
      <c r="T842" s="1">
        <f>COUNTIF(S:S,Table1[[#This Row],[Months List]])</f>
        <v>0</v>
      </c>
      <c r="U842" t="str">
        <f>TEXT(Table1[[#This Row],[Hiring Date]],"dddd")</f>
        <v>Monday</v>
      </c>
      <c r="V842" s="1" t="str">
        <f>TEXT(Table1[[#This Row],[Hiring Date]],"yyyy")</f>
        <v>2025</v>
      </c>
    </row>
    <row r="843" spans="1:22">
      <c r="A843" t="s">
        <v>439</v>
      </c>
      <c r="B843">
        <v>29</v>
      </c>
      <c r="C843">
        <v>408</v>
      </c>
      <c r="D843" t="s">
        <v>14</v>
      </c>
      <c r="E843" t="s">
        <v>1501</v>
      </c>
      <c r="F843" t="s">
        <v>1499</v>
      </c>
      <c r="G843">
        <v>71</v>
      </c>
      <c r="H843">
        <v>2</v>
      </c>
      <c r="I843">
        <v>1</v>
      </c>
      <c r="J843" t="s">
        <v>1476</v>
      </c>
      <c r="K843" t="s">
        <v>1477</v>
      </c>
      <c r="L843">
        <v>2</v>
      </c>
      <c r="M843" t="s">
        <v>15</v>
      </c>
      <c r="N843">
        <v>5</v>
      </c>
      <c r="O843" t="s">
        <v>13</v>
      </c>
      <c r="P843">
        <v>6</v>
      </c>
      <c r="Q843" s="4">
        <v>45715</v>
      </c>
      <c r="R843" s="4"/>
      <c r="S843" t="str">
        <f>TEXT(Table1[[#This Row],[Hiring Date]],"mmmm")</f>
        <v>February</v>
      </c>
      <c r="T843" s="1">
        <f>COUNTIF(S:S,Table1[[#This Row],[Months List]])</f>
        <v>0</v>
      </c>
      <c r="U843" t="str">
        <f>TEXT(Table1[[#This Row],[Hiring Date]],"dddd")</f>
        <v>Thursday</v>
      </c>
      <c r="V843" s="1" t="str">
        <f>TEXT(Table1[[#This Row],[Hiring Date]],"yyyy")</f>
        <v>2025</v>
      </c>
    </row>
    <row r="844" spans="1:22">
      <c r="A844" t="s">
        <v>440</v>
      </c>
      <c r="B844">
        <v>19</v>
      </c>
      <c r="C844">
        <v>489</v>
      </c>
      <c r="D844" t="s">
        <v>17</v>
      </c>
      <c r="E844" t="s">
        <v>1501</v>
      </c>
      <c r="F844" t="s">
        <v>1496</v>
      </c>
      <c r="G844">
        <v>52</v>
      </c>
      <c r="H844">
        <v>2</v>
      </c>
      <c r="I844">
        <v>1</v>
      </c>
      <c r="J844" t="s">
        <v>1486</v>
      </c>
      <c r="K844" t="s">
        <v>17</v>
      </c>
      <c r="L844">
        <v>4</v>
      </c>
      <c r="M844" t="s">
        <v>12</v>
      </c>
      <c r="N844">
        <v>1</v>
      </c>
      <c r="O844" t="s">
        <v>13</v>
      </c>
      <c r="P844">
        <v>1</v>
      </c>
      <c r="Q844" s="4">
        <v>45826</v>
      </c>
      <c r="R844" s="4"/>
      <c r="S844" t="str">
        <f>TEXT(Table1[[#This Row],[Hiring Date]],"mmmm")</f>
        <v>June</v>
      </c>
      <c r="T844" s="1">
        <f>COUNTIF(S:S,Table1[[#This Row],[Months List]])</f>
        <v>0</v>
      </c>
      <c r="U844" t="str">
        <f>TEXT(Table1[[#This Row],[Hiring Date]],"dddd")</f>
        <v>Wednesday</v>
      </c>
      <c r="V844" s="1" t="str">
        <f>TEXT(Table1[[#This Row],[Hiring Date]],"yyyy")</f>
        <v>2025</v>
      </c>
    </row>
    <row r="845" spans="1:22">
      <c r="A845" t="s">
        <v>441</v>
      </c>
      <c r="B845">
        <v>30</v>
      </c>
      <c r="C845">
        <v>1398</v>
      </c>
      <c r="D845" t="s">
        <v>11</v>
      </c>
      <c r="E845" t="s">
        <v>1500</v>
      </c>
      <c r="F845" t="s">
        <v>1499</v>
      </c>
      <c r="G845">
        <v>69</v>
      </c>
      <c r="H845">
        <v>3</v>
      </c>
      <c r="I845">
        <v>3</v>
      </c>
      <c r="J845" t="s">
        <v>1474</v>
      </c>
      <c r="K845" t="s">
        <v>1475</v>
      </c>
      <c r="L845">
        <v>1</v>
      </c>
      <c r="M845" t="s">
        <v>15</v>
      </c>
      <c r="N845">
        <v>0</v>
      </c>
      <c r="O845" t="s">
        <v>13</v>
      </c>
      <c r="P845">
        <v>10</v>
      </c>
      <c r="Q845" s="4">
        <v>45692</v>
      </c>
      <c r="R845" s="4"/>
      <c r="S845" t="str">
        <f>TEXT(Table1[[#This Row],[Hiring Date]],"mmmm")</f>
        <v>February</v>
      </c>
      <c r="T845" s="1">
        <f>COUNTIF(S:S,Table1[[#This Row],[Months List]])</f>
        <v>0</v>
      </c>
      <c r="U845" t="str">
        <f>TEXT(Table1[[#This Row],[Hiring Date]],"dddd")</f>
        <v>Tuesday</v>
      </c>
      <c r="V845" s="1" t="str">
        <f>TEXT(Table1[[#This Row],[Hiring Date]],"yyyy")</f>
        <v>2025</v>
      </c>
    </row>
    <row r="846" spans="1:22">
      <c r="A846" t="s">
        <v>442</v>
      </c>
      <c r="B846">
        <v>57</v>
      </c>
      <c r="C846">
        <v>210</v>
      </c>
      <c r="D846" t="s">
        <v>11</v>
      </c>
      <c r="E846" t="s">
        <v>1498</v>
      </c>
      <c r="F846" t="s">
        <v>1496</v>
      </c>
      <c r="G846">
        <v>56</v>
      </c>
      <c r="H846">
        <v>2</v>
      </c>
      <c r="I846">
        <v>4</v>
      </c>
      <c r="J846" t="s">
        <v>1482</v>
      </c>
      <c r="K846" t="s">
        <v>1483</v>
      </c>
      <c r="L846">
        <v>4</v>
      </c>
      <c r="M846" t="s">
        <v>16</v>
      </c>
      <c r="N846">
        <v>3</v>
      </c>
      <c r="O846" t="s">
        <v>13</v>
      </c>
      <c r="P846">
        <v>32</v>
      </c>
      <c r="Q846" s="4">
        <v>45647</v>
      </c>
      <c r="R846" s="4"/>
      <c r="S846" t="str">
        <f>TEXT(Table1[[#This Row],[Hiring Date]],"mmmm")</f>
        <v>December</v>
      </c>
      <c r="T846" s="1">
        <f>COUNTIF(S:S,Table1[[#This Row],[Months List]])</f>
        <v>0</v>
      </c>
      <c r="U846" t="str">
        <f>TEXT(Table1[[#This Row],[Hiring Date]],"dddd")</f>
        <v>Saturday</v>
      </c>
      <c r="V846" s="1" t="str">
        <f>TEXT(Table1[[#This Row],[Hiring Date]],"yyyy")</f>
        <v>2024</v>
      </c>
    </row>
    <row r="847" spans="1:22">
      <c r="A847" t="s">
        <v>443</v>
      </c>
      <c r="B847">
        <v>50</v>
      </c>
      <c r="C847">
        <v>1099</v>
      </c>
      <c r="D847" t="s">
        <v>14</v>
      </c>
      <c r="E847" t="s">
        <v>1497</v>
      </c>
      <c r="F847" t="s">
        <v>1496</v>
      </c>
      <c r="G847">
        <v>88</v>
      </c>
      <c r="H847">
        <v>2</v>
      </c>
      <c r="I847">
        <v>4</v>
      </c>
      <c r="J847" t="s">
        <v>1482</v>
      </c>
      <c r="K847" t="s">
        <v>1483</v>
      </c>
      <c r="L847">
        <v>3</v>
      </c>
      <c r="M847" t="s">
        <v>15</v>
      </c>
      <c r="N847">
        <v>0</v>
      </c>
      <c r="O847" t="s">
        <v>13</v>
      </c>
      <c r="P847">
        <v>28</v>
      </c>
      <c r="Q847" s="4">
        <v>45864</v>
      </c>
      <c r="R847" s="4"/>
      <c r="S847" t="str">
        <f>TEXT(Table1[[#This Row],[Hiring Date]],"mmmm")</f>
        <v>July</v>
      </c>
      <c r="T847" s="1">
        <f>COUNTIF(S:S,Table1[[#This Row],[Months List]])</f>
        <v>0</v>
      </c>
      <c r="U847" t="str">
        <f>TEXT(Table1[[#This Row],[Hiring Date]],"dddd")</f>
        <v>Saturday</v>
      </c>
      <c r="V847" s="1" t="str">
        <f>TEXT(Table1[[#This Row],[Hiring Date]],"yyyy")</f>
        <v>2025</v>
      </c>
    </row>
    <row r="848" spans="1:22">
      <c r="A848" t="s">
        <v>444</v>
      </c>
      <c r="B848">
        <v>30</v>
      </c>
      <c r="C848">
        <v>1116</v>
      </c>
      <c r="D848" t="s">
        <v>14</v>
      </c>
      <c r="E848" t="s">
        <v>1495</v>
      </c>
      <c r="F848" t="s">
        <v>1499</v>
      </c>
      <c r="G848">
        <v>49</v>
      </c>
      <c r="H848">
        <v>3</v>
      </c>
      <c r="I848">
        <v>1</v>
      </c>
      <c r="J848" t="s">
        <v>1484</v>
      </c>
      <c r="K848" t="s">
        <v>1485</v>
      </c>
      <c r="L848">
        <v>4</v>
      </c>
      <c r="M848" t="s">
        <v>12</v>
      </c>
      <c r="N848">
        <v>0</v>
      </c>
      <c r="O848" t="s">
        <v>13</v>
      </c>
      <c r="P848">
        <v>12</v>
      </c>
      <c r="Q848" s="4">
        <v>45911</v>
      </c>
      <c r="R848" s="4"/>
      <c r="S848" t="str">
        <f>TEXT(Table1[[#This Row],[Hiring Date]],"mmmm")</f>
        <v>September</v>
      </c>
      <c r="T848" s="1">
        <f>COUNTIF(S:S,Table1[[#This Row],[Months List]])</f>
        <v>0</v>
      </c>
      <c r="U848" t="str">
        <f>TEXT(Table1[[#This Row],[Hiring Date]],"dddd")</f>
        <v>Thursday</v>
      </c>
      <c r="V848" s="1" t="str">
        <f>TEXT(Table1[[#This Row],[Hiring Date]],"yyyy")</f>
        <v>2025</v>
      </c>
    </row>
    <row r="849" spans="1:22">
      <c r="A849" t="s">
        <v>445</v>
      </c>
      <c r="B849">
        <v>60</v>
      </c>
      <c r="C849">
        <v>1499</v>
      </c>
      <c r="D849" t="s">
        <v>11</v>
      </c>
      <c r="E849" t="s">
        <v>1498</v>
      </c>
      <c r="F849" t="s">
        <v>1499</v>
      </c>
      <c r="G849">
        <v>80</v>
      </c>
      <c r="H849">
        <v>2</v>
      </c>
      <c r="I849">
        <v>3</v>
      </c>
      <c r="J849" t="s">
        <v>1474</v>
      </c>
      <c r="K849" t="s">
        <v>1475</v>
      </c>
      <c r="L849">
        <v>1</v>
      </c>
      <c r="M849" t="s">
        <v>15</v>
      </c>
      <c r="N849">
        <v>4</v>
      </c>
      <c r="O849" t="s">
        <v>13</v>
      </c>
      <c r="P849">
        <v>22</v>
      </c>
      <c r="Q849" s="4">
        <v>45805</v>
      </c>
      <c r="R849" s="4"/>
      <c r="S849" t="str">
        <f>TEXT(Table1[[#This Row],[Hiring Date]],"mmmm")</f>
        <v>May</v>
      </c>
      <c r="T849" s="1">
        <f>COUNTIF(S:S,Table1[[#This Row],[Months List]])</f>
        <v>0</v>
      </c>
      <c r="U849" t="str">
        <f>TEXT(Table1[[#This Row],[Hiring Date]],"dddd")</f>
        <v>Wednesday</v>
      </c>
      <c r="V849" s="1" t="str">
        <f>TEXT(Table1[[#This Row],[Hiring Date]],"yyyy")</f>
        <v>2025</v>
      </c>
    </row>
    <row r="850" spans="1:22">
      <c r="A850" t="s">
        <v>446</v>
      </c>
      <c r="B850">
        <v>47</v>
      </c>
      <c r="C850">
        <v>983</v>
      </c>
      <c r="D850" t="s">
        <v>14</v>
      </c>
      <c r="E850" t="s">
        <v>1495</v>
      </c>
      <c r="F850" t="s">
        <v>1499</v>
      </c>
      <c r="G850">
        <v>65</v>
      </c>
      <c r="H850">
        <v>3</v>
      </c>
      <c r="I850">
        <v>2</v>
      </c>
      <c r="J850" t="s">
        <v>1480</v>
      </c>
      <c r="K850" t="s">
        <v>1481</v>
      </c>
      <c r="L850">
        <v>4</v>
      </c>
      <c r="M850" t="s">
        <v>16</v>
      </c>
      <c r="N850">
        <v>5</v>
      </c>
      <c r="O850" t="s">
        <v>13</v>
      </c>
      <c r="P850">
        <v>20</v>
      </c>
      <c r="Q850" s="4">
        <v>45673</v>
      </c>
      <c r="R850" s="4"/>
      <c r="S850" t="str">
        <f>TEXT(Table1[[#This Row],[Hiring Date]],"mmmm")</f>
        <v>January</v>
      </c>
      <c r="T850" s="1">
        <f>COUNTIF(S:S,Table1[[#This Row],[Months List]])</f>
        <v>0</v>
      </c>
      <c r="U850" t="str">
        <f>TEXT(Table1[[#This Row],[Hiring Date]],"dddd")</f>
        <v>Thursday</v>
      </c>
      <c r="V850" s="1" t="str">
        <f>TEXT(Table1[[#This Row],[Hiring Date]],"yyyy")</f>
        <v>2025</v>
      </c>
    </row>
    <row r="851" spans="1:22">
      <c r="A851" t="s">
        <v>51</v>
      </c>
      <c r="B851">
        <v>39</v>
      </c>
      <c r="C851">
        <v>895</v>
      </c>
      <c r="D851" t="s">
        <v>11</v>
      </c>
      <c r="E851" t="s">
        <v>1501</v>
      </c>
      <c r="F851" t="s">
        <v>1496</v>
      </c>
      <c r="G851">
        <v>56</v>
      </c>
      <c r="H851">
        <v>3</v>
      </c>
      <c r="I851">
        <v>2</v>
      </c>
      <c r="J851" t="s">
        <v>1489</v>
      </c>
      <c r="K851" t="s">
        <v>1490</v>
      </c>
      <c r="L851">
        <v>4</v>
      </c>
      <c r="M851" t="s">
        <v>15</v>
      </c>
      <c r="N851">
        <v>3</v>
      </c>
      <c r="O851" t="s">
        <v>13</v>
      </c>
      <c r="P851">
        <v>19</v>
      </c>
      <c r="Q851" s="4">
        <v>45891</v>
      </c>
      <c r="R851" s="4"/>
      <c r="S851" t="str">
        <f>TEXT(Table1[[#This Row],[Hiring Date]],"mmmm")</f>
        <v>August</v>
      </c>
      <c r="T851" s="1">
        <f>COUNTIF(S:S,Table1[[#This Row],[Months List]])</f>
        <v>0</v>
      </c>
      <c r="U851" t="str">
        <f>TEXT(Table1[[#This Row],[Hiring Date]],"dddd")</f>
        <v>Friday</v>
      </c>
      <c r="V851" s="1" t="str">
        <f>TEXT(Table1[[#This Row],[Hiring Date]],"yyyy")</f>
        <v>2025</v>
      </c>
    </row>
    <row r="852" spans="1:22">
      <c r="A852" t="s">
        <v>447</v>
      </c>
      <c r="B852">
        <v>46</v>
      </c>
      <c r="C852">
        <v>1009</v>
      </c>
      <c r="D852" t="s">
        <v>14</v>
      </c>
      <c r="E852" t="s">
        <v>1497</v>
      </c>
      <c r="F852" t="s">
        <v>1496</v>
      </c>
      <c r="G852">
        <v>51</v>
      </c>
      <c r="H852">
        <v>3</v>
      </c>
      <c r="I852">
        <v>4</v>
      </c>
      <c r="J852" t="s">
        <v>1487</v>
      </c>
      <c r="K852" t="s">
        <v>1488</v>
      </c>
      <c r="L852">
        <v>3</v>
      </c>
      <c r="M852" t="s">
        <v>15</v>
      </c>
      <c r="N852">
        <v>6</v>
      </c>
      <c r="O852" t="s">
        <v>13</v>
      </c>
      <c r="P852">
        <v>26</v>
      </c>
      <c r="Q852" s="4">
        <v>45765</v>
      </c>
      <c r="R852" s="4"/>
      <c r="S852" t="str">
        <f>TEXT(Table1[[#This Row],[Hiring Date]],"mmmm")</f>
        <v>April</v>
      </c>
      <c r="T852" s="1">
        <f>COUNTIF(S:S,Table1[[#This Row],[Months List]])</f>
        <v>0</v>
      </c>
      <c r="U852" t="str">
        <f>TEXT(Table1[[#This Row],[Hiring Date]],"dddd")</f>
        <v>Friday</v>
      </c>
      <c r="V852" s="1" t="str">
        <f>TEXT(Table1[[#This Row],[Hiring Date]],"yyyy")</f>
        <v>2025</v>
      </c>
    </row>
    <row r="853" spans="1:22">
      <c r="A853" t="s">
        <v>448</v>
      </c>
      <c r="B853">
        <v>35</v>
      </c>
      <c r="C853">
        <v>144</v>
      </c>
      <c r="D853" t="s">
        <v>14</v>
      </c>
      <c r="E853" t="s">
        <v>1497</v>
      </c>
      <c r="F853" t="s">
        <v>1496</v>
      </c>
      <c r="G853">
        <v>46</v>
      </c>
      <c r="H853">
        <v>1</v>
      </c>
      <c r="I853">
        <v>1</v>
      </c>
      <c r="J853" t="s">
        <v>1484</v>
      </c>
      <c r="K853" t="s">
        <v>1485</v>
      </c>
      <c r="L853">
        <v>3</v>
      </c>
      <c r="M853" t="s">
        <v>12</v>
      </c>
      <c r="N853">
        <v>0</v>
      </c>
      <c r="O853" t="s">
        <v>13</v>
      </c>
      <c r="P853">
        <v>6</v>
      </c>
      <c r="Q853" s="4">
        <v>45734</v>
      </c>
      <c r="R853" s="4"/>
      <c r="S853" t="str">
        <f>TEXT(Table1[[#This Row],[Hiring Date]],"mmmm")</f>
        <v>March</v>
      </c>
      <c r="T853" s="1">
        <f>COUNTIF(S:S,Table1[[#This Row],[Months List]])</f>
        <v>0</v>
      </c>
      <c r="U853" t="str">
        <f>TEXT(Table1[[#This Row],[Hiring Date]],"dddd")</f>
        <v>Tuesday</v>
      </c>
      <c r="V853" s="1" t="str">
        <f>TEXT(Table1[[#This Row],[Hiring Date]],"yyyy")</f>
        <v>2025</v>
      </c>
    </row>
    <row r="854" spans="1:22">
      <c r="A854" t="s">
        <v>449</v>
      </c>
      <c r="B854">
        <v>54</v>
      </c>
      <c r="C854">
        <v>548</v>
      </c>
      <c r="D854" t="s">
        <v>14</v>
      </c>
      <c r="E854" t="s">
        <v>1497</v>
      </c>
      <c r="F854" t="s">
        <v>1499</v>
      </c>
      <c r="G854">
        <v>42</v>
      </c>
      <c r="H854">
        <v>3</v>
      </c>
      <c r="I854">
        <v>2</v>
      </c>
      <c r="J854" t="s">
        <v>1484</v>
      </c>
      <c r="K854" t="s">
        <v>1485</v>
      </c>
      <c r="L854">
        <v>3</v>
      </c>
      <c r="M854" t="s">
        <v>12</v>
      </c>
      <c r="N854">
        <v>7</v>
      </c>
      <c r="O854" t="s">
        <v>13</v>
      </c>
      <c r="P854">
        <v>19</v>
      </c>
      <c r="Q854" s="4">
        <v>45835</v>
      </c>
      <c r="R854" s="4"/>
      <c r="S854" t="str">
        <f>TEXT(Table1[[#This Row],[Hiring Date]],"mmmm")</f>
        <v>June</v>
      </c>
      <c r="T854" s="1">
        <f>COUNTIF(S:S,Table1[[#This Row],[Months List]])</f>
        <v>0</v>
      </c>
      <c r="U854" t="str">
        <f>TEXT(Table1[[#This Row],[Hiring Date]],"dddd")</f>
        <v>Friday</v>
      </c>
      <c r="V854" s="1" t="str">
        <f>TEXT(Table1[[#This Row],[Hiring Date]],"yyyy")</f>
        <v>2025</v>
      </c>
    </row>
    <row r="855" spans="1:22">
      <c r="A855" t="s">
        <v>450</v>
      </c>
      <c r="B855">
        <v>34</v>
      </c>
      <c r="C855">
        <v>1303</v>
      </c>
      <c r="D855" t="s">
        <v>14</v>
      </c>
      <c r="E855" t="s">
        <v>1497</v>
      </c>
      <c r="F855" t="s">
        <v>1496</v>
      </c>
      <c r="G855">
        <v>62</v>
      </c>
      <c r="H855">
        <v>2</v>
      </c>
      <c r="I855">
        <v>1</v>
      </c>
      <c r="J855" t="s">
        <v>1476</v>
      </c>
      <c r="K855" t="s">
        <v>1477</v>
      </c>
      <c r="L855">
        <v>3</v>
      </c>
      <c r="M855" t="s">
        <v>16</v>
      </c>
      <c r="N855">
        <v>3</v>
      </c>
      <c r="O855" t="s">
        <v>13</v>
      </c>
      <c r="P855">
        <v>14</v>
      </c>
      <c r="Q855" s="4">
        <v>45799</v>
      </c>
      <c r="R855" s="4"/>
      <c r="S855" t="str">
        <f>TEXT(Table1[[#This Row],[Hiring Date]],"mmmm")</f>
        <v>May</v>
      </c>
      <c r="T855" s="1">
        <f>COUNTIF(S:S,Table1[[#This Row],[Months List]])</f>
        <v>0</v>
      </c>
      <c r="U855" t="str">
        <f>TEXT(Table1[[#This Row],[Hiring Date]],"dddd")</f>
        <v>Thursday</v>
      </c>
      <c r="V855" s="1" t="str">
        <f>TEXT(Table1[[#This Row],[Hiring Date]],"yyyy")</f>
        <v>2025</v>
      </c>
    </row>
    <row r="856" spans="1:22">
      <c r="A856" t="s">
        <v>451</v>
      </c>
      <c r="B856">
        <v>46</v>
      </c>
      <c r="C856">
        <v>1125</v>
      </c>
      <c r="D856" t="s">
        <v>11</v>
      </c>
      <c r="E856" t="s">
        <v>1498</v>
      </c>
      <c r="F856" t="s">
        <v>1499</v>
      </c>
      <c r="G856">
        <v>94</v>
      </c>
      <c r="H856">
        <v>2</v>
      </c>
      <c r="I856">
        <v>3</v>
      </c>
      <c r="J856" t="s">
        <v>1474</v>
      </c>
      <c r="K856" t="s">
        <v>1475</v>
      </c>
      <c r="L856">
        <v>4</v>
      </c>
      <c r="M856" t="s">
        <v>15</v>
      </c>
      <c r="N856">
        <v>2</v>
      </c>
      <c r="O856" t="s">
        <v>10</v>
      </c>
      <c r="P856">
        <v>15</v>
      </c>
      <c r="Q856" s="4">
        <v>45887</v>
      </c>
      <c r="R856" s="4"/>
      <c r="S856" t="str">
        <f>TEXT(Table1[[#This Row],[Hiring Date]],"mmmm")</f>
        <v>August</v>
      </c>
      <c r="T856" s="1">
        <f>COUNTIF(S:S,Table1[[#This Row],[Months List]])</f>
        <v>0</v>
      </c>
      <c r="U856" t="str">
        <f>TEXT(Table1[[#This Row],[Hiring Date]],"dddd")</f>
        <v>Monday</v>
      </c>
      <c r="V856" s="1" t="str">
        <f>TEXT(Table1[[#This Row],[Hiring Date]],"yyyy")</f>
        <v>2025</v>
      </c>
    </row>
    <row r="857" spans="1:22">
      <c r="A857" t="s">
        <v>452</v>
      </c>
      <c r="B857">
        <v>31</v>
      </c>
      <c r="C857">
        <v>1274</v>
      </c>
      <c r="D857" t="s">
        <v>14</v>
      </c>
      <c r="E857" t="s">
        <v>1497</v>
      </c>
      <c r="F857" t="s">
        <v>1496</v>
      </c>
      <c r="G857">
        <v>33</v>
      </c>
      <c r="H857">
        <v>3</v>
      </c>
      <c r="I857">
        <v>3</v>
      </c>
      <c r="J857" t="s">
        <v>1480</v>
      </c>
      <c r="K857" t="s">
        <v>1481</v>
      </c>
      <c r="L857">
        <v>2</v>
      </c>
      <c r="M857" t="s">
        <v>16</v>
      </c>
      <c r="N857">
        <v>1</v>
      </c>
      <c r="O857" t="s">
        <v>13</v>
      </c>
      <c r="P857">
        <v>13</v>
      </c>
      <c r="Q857" s="4">
        <v>45721</v>
      </c>
      <c r="R857" s="4"/>
      <c r="S857" t="str">
        <f>TEXT(Table1[[#This Row],[Hiring Date]],"mmmm")</f>
        <v>March</v>
      </c>
      <c r="T857" s="1">
        <f>COUNTIF(S:S,Table1[[#This Row],[Months List]])</f>
        <v>0</v>
      </c>
      <c r="U857" t="str">
        <f>TEXT(Table1[[#This Row],[Hiring Date]],"dddd")</f>
        <v>Wednesday</v>
      </c>
      <c r="V857" s="1" t="str">
        <f>TEXT(Table1[[#This Row],[Hiring Date]],"yyyy")</f>
        <v>2025</v>
      </c>
    </row>
    <row r="858" spans="1:22">
      <c r="A858" t="s">
        <v>453</v>
      </c>
      <c r="B858">
        <v>33</v>
      </c>
      <c r="C858">
        <v>1277</v>
      </c>
      <c r="D858" t="s">
        <v>14</v>
      </c>
      <c r="E858" t="s">
        <v>1495</v>
      </c>
      <c r="F858" t="s">
        <v>1496</v>
      </c>
      <c r="G858">
        <v>56</v>
      </c>
      <c r="H858">
        <v>3</v>
      </c>
      <c r="I858">
        <v>3</v>
      </c>
      <c r="J858" t="s">
        <v>1482</v>
      </c>
      <c r="K858" t="s">
        <v>1483</v>
      </c>
      <c r="L858">
        <v>3</v>
      </c>
      <c r="M858" t="s">
        <v>15</v>
      </c>
      <c r="N858">
        <v>7</v>
      </c>
      <c r="O858" t="s">
        <v>10</v>
      </c>
      <c r="P858">
        <v>15</v>
      </c>
      <c r="Q858" s="4">
        <v>45795</v>
      </c>
      <c r="R858" s="4"/>
      <c r="S858" t="str">
        <f>TEXT(Table1[[#This Row],[Hiring Date]],"mmmm")</f>
        <v>May</v>
      </c>
      <c r="T858" s="1">
        <f>COUNTIF(S:S,Table1[[#This Row],[Months List]])</f>
        <v>0</v>
      </c>
      <c r="U858" t="str">
        <f>TEXT(Table1[[#This Row],[Hiring Date]],"dddd")</f>
        <v>Sunday</v>
      </c>
      <c r="V858" s="1" t="str">
        <f>TEXT(Table1[[#This Row],[Hiring Date]],"yyyy")</f>
        <v>2025</v>
      </c>
    </row>
    <row r="859" spans="1:22">
      <c r="A859" t="s">
        <v>454</v>
      </c>
      <c r="B859">
        <v>33</v>
      </c>
      <c r="C859">
        <v>587</v>
      </c>
      <c r="D859" t="s">
        <v>14</v>
      </c>
      <c r="E859" t="s">
        <v>1495</v>
      </c>
      <c r="F859" t="s">
        <v>1496</v>
      </c>
      <c r="G859">
        <v>38</v>
      </c>
      <c r="H859">
        <v>1</v>
      </c>
      <c r="I859">
        <v>1</v>
      </c>
      <c r="J859" t="s">
        <v>1484</v>
      </c>
      <c r="K859" t="s">
        <v>1485</v>
      </c>
      <c r="L859">
        <v>4</v>
      </c>
      <c r="M859" t="s">
        <v>16</v>
      </c>
      <c r="N859">
        <v>7</v>
      </c>
      <c r="O859" t="s">
        <v>13</v>
      </c>
      <c r="P859">
        <v>8</v>
      </c>
      <c r="Q859" s="4">
        <v>45959</v>
      </c>
      <c r="R859" s="4"/>
      <c r="S859" t="str">
        <f>TEXT(Table1[[#This Row],[Hiring Date]],"mmmm")</f>
        <v>October</v>
      </c>
      <c r="T859" s="1">
        <f>COUNTIF(S:S,Table1[[#This Row],[Months List]])</f>
        <v>0</v>
      </c>
      <c r="U859" t="str">
        <f>TEXT(Table1[[#This Row],[Hiring Date]],"dddd")</f>
        <v>Wednesday</v>
      </c>
      <c r="V859" s="1" t="str">
        <f>TEXT(Table1[[#This Row],[Hiring Date]],"yyyy")</f>
        <v>2025</v>
      </c>
    </row>
    <row r="860" spans="1:22">
      <c r="A860" t="s">
        <v>455</v>
      </c>
      <c r="B860">
        <v>30</v>
      </c>
      <c r="C860">
        <v>413</v>
      </c>
      <c r="D860" t="s">
        <v>11</v>
      </c>
      <c r="E860" t="s">
        <v>1498</v>
      </c>
      <c r="F860" t="s">
        <v>1496</v>
      </c>
      <c r="G860">
        <v>57</v>
      </c>
      <c r="H860">
        <v>3</v>
      </c>
      <c r="I860">
        <v>1</v>
      </c>
      <c r="J860" t="s">
        <v>1489</v>
      </c>
      <c r="K860" t="s">
        <v>1490</v>
      </c>
      <c r="L860">
        <v>2</v>
      </c>
      <c r="M860" t="s">
        <v>12</v>
      </c>
      <c r="N860">
        <v>0</v>
      </c>
      <c r="O860" t="s">
        <v>13</v>
      </c>
      <c r="P860">
        <v>4</v>
      </c>
      <c r="Q860" s="4">
        <v>45699</v>
      </c>
      <c r="R860" s="4"/>
      <c r="S860" t="str">
        <f>TEXT(Table1[[#This Row],[Hiring Date]],"mmmm")</f>
        <v>February</v>
      </c>
      <c r="T860" s="1">
        <f>COUNTIF(S:S,Table1[[#This Row],[Months List]])</f>
        <v>0</v>
      </c>
      <c r="U860" t="str">
        <f>TEXT(Table1[[#This Row],[Hiring Date]],"dddd")</f>
        <v>Tuesday</v>
      </c>
      <c r="V860" s="1" t="str">
        <f>TEXT(Table1[[#This Row],[Hiring Date]],"yyyy")</f>
        <v>2025</v>
      </c>
    </row>
    <row r="861" spans="1:22">
      <c r="A861" t="s">
        <v>456</v>
      </c>
      <c r="B861">
        <v>35</v>
      </c>
      <c r="C861">
        <v>1276</v>
      </c>
      <c r="D861" t="s">
        <v>14</v>
      </c>
      <c r="E861" t="s">
        <v>1497</v>
      </c>
      <c r="F861" t="s">
        <v>1496</v>
      </c>
      <c r="G861">
        <v>72</v>
      </c>
      <c r="H861">
        <v>3</v>
      </c>
      <c r="I861">
        <v>3</v>
      </c>
      <c r="J861" t="s">
        <v>1478</v>
      </c>
      <c r="K861" t="s">
        <v>1479</v>
      </c>
      <c r="L861">
        <v>3</v>
      </c>
      <c r="M861" t="s">
        <v>15</v>
      </c>
      <c r="N861">
        <v>4</v>
      </c>
      <c r="O861" t="s">
        <v>10</v>
      </c>
      <c r="P861">
        <v>10</v>
      </c>
      <c r="Q861" s="4">
        <v>45814</v>
      </c>
      <c r="R861" s="4"/>
      <c r="S861" t="str">
        <f>TEXT(Table1[[#This Row],[Hiring Date]],"mmmm")</f>
        <v>June</v>
      </c>
      <c r="T861" s="1">
        <f>COUNTIF(S:S,Table1[[#This Row],[Months List]])</f>
        <v>0</v>
      </c>
      <c r="U861" t="str">
        <f>TEXT(Table1[[#This Row],[Hiring Date]],"dddd")</f>
        <v>Friday</v>
      </c>
      <c r="V861" s="1" t="str">
        <f>TEXT(Table1[[#This Row],[Hiring Date]],"yyyy")</f>
        <v>2025</v>
      </c>
    </row>
    <row r="862" spans="1:22">
      <c r="A862" t="s">
        <v>52</v>
      </c>
      <c r="B862">
        <v>24</v>
      </c>
      <c r="C862">
        <v>813</v>
      </c>
      <c r="D862" t="s">
        <v>14</v>
      </c>
      <c r="E862" t="s">
        <v>1495</v>
      </c>
      <c r="F862" t="s">
        <v>1496</v>
      </c>
      <c r="G862">
        <v>61</v>
      </c>
      <c r="H862">
        <v>3</v>
      </c>
      <c r="I862">
        <v>1</v>
      </c>
      <c r="J862" t="s">
        <v>1476</v>
      </c>
      <c r="K862" t="s">
        <v>1477</v>
      </c>
      <c r="L862">
        <v>4</v>
      </c>
      <c r="M862" t="s">
        <v>15</v>
      </c>
      <c r="N862">
        <v>2</v>
      </c>
      <c r="O862" t="s">
        <v>10</v>
      </c>
      <c r="P862">
        <v>6</v>
      </c>
      <c r="Q862" s="4">
        <v>45829</v>
      </c>
      <c r="R862" s="4"/>
      <c r="S862" t="str">
        <f>TEXT(Table1[[#This Row],[Hiring Date]],"mmmm")</f>
        <v>June</v>
      </c>
      <c r="T862" s="1">
        <f>COUNTIF(S:S,Table1[[#This Row],[Months List]])</f>
        <v>0</v>
      </c>
      <c r="U862" t="str">
        <f>TEXT(Table1[[#This Row],[Hiring Date]],"dddd")</f>
        <v>Saturday</v>
      </c>
      <c r="V862" s="1" t="str">
        <f>TEXT(Table1[[#This Row],[Hiring Date]],"yyyy")</f>
        <v>2025</v>
      </c>
    </row>
    <row r="863" spans="1:22">
      <c r="A863" t="s">
        <v>457</v>
      </c>
      <c r="B863">
        <v>31</v>
      </c>
      <c r="C863">
        <v>534</v>
      </c>
      <c r="D863" t="s">
        <v>14</v>
      </c>
      <c r="E863" t="s">
        <v>1497</v>
      </c>
      <c r="F863" t="s">
        <v>1496</v>
      </c>
      <c r="G863">
        <v>66</v>
      </c>
      <c r="H863">
        <v>3</v>
      </c>
      <c r="I863">
        <v>3</v>
      </c>
      <c r="J863" t="s">
        <v>1478</v>
      </c>
      <c r="K863" t="s">
        <v>1479</v>
      </c>
      <c r="L863">
        <v>3</v>
      </c>
      <c r="M863" t="s">
        <v>15</v>
      </c>
      <c r="N863">
        <v>3</v>
      </c>
      <c r="O863" t="s">
        <v>13</v>
      </c>
      <c r="P863">
        <v>12</v>
      </c>
      <c r="Q863" s="4">
        <v>45817</v>
      </c>
      <c r="R863" s="4"/>
      <c r="S863" t="str">
        <f>TEXT(Table1[[#This Row],[Hiring Date]],"mmmm")</f>
        <v>June</v>
      </c>
      <c r="T863" s="1">
        <f>COUNTIF(S:S,Table1[[#This Row],[Months List]])</f>
        <v>0</v>
      </c>
      <c r="U863" t="str">
        <f>TEXT(Table1[[#This Row],[Hiring Date]],"dddd")</f>
        <v>Monday</v>
      </c>
      <c r="V863" s="1" t="str">
        <f>TEXT(Table1[[#This Row],[Hiring Date]],"yyyy")</f>
        <v>2025</v>
      </c>
    </row>
    <row r="864" spans="1:22">
      <c r="A864" t="s">
        <v>458</v>
      </c>
      <c r="B864">
        <v>34</v>
      </c>
      <c r="C864">
        <v>988</v>
      </c>
      <c r="D864" t="s">
        <v>17</v>
      </c>
      <c r="E864" t="s">
        <v>17</v>
      </c>
      <c r="F864" t="s">
        <v>1499</v>
      </c>
      <c r="G864">
        <v>43</v>
      </c>
      <c r="H864">
        <v>3</v>
      </c>
      <c r="I864">
        <v>3</v>
      </c>
      <c r="J864" t="s">
        <v>1486</v>
      </c>
      <c r="K864" t="s">
        <v>17</v>
      </c>
      <c r="L864">
        <v>1</v>
      </c>
      <c r="M864" t="s">
        <v>16</v>
      </c>
      <c r="N864">
        <v>9</v>
      </c>
      <c r="O864" t="s">
        <v>10</v>
      </c>
      <c r="P864">
        <v>11</v>
      </c>
      <c r="Q864" s="4">
        <v>45933</v>
      </c>
      <c r="R864" s="4"/>
      <c r="S864" t="str">
        <f>TEXT(Table1[[#This Row],[Hiring Date]],"mmmm")</f>
        <v>October</v>
      </c>
      <c r="T864" s="1">
        <f>COUNTIF(S:S,Table1[[#This Row],[Months List]])</f>
        <v>0</v>
      </c>
      <c r="U864" t="str">
        <f>TEXT(Table1[[#This Row],[Hiring Date]],"dddd")</f>
        <v>Friday</v>
      </c>
      <c r="V864" s="1" t="str">
        <f>TEXT(Table1[[#This Row],[Hiring Date]],"yyyy")</f>
        <v>2025</v>
      </c>
    </row>
    <row r="865" spans="1:22">
      <c r="A865" t="s">
        <v>459</v>
      </c>
      <c r="B865">
        <v>42</v>
      </c>
      <c r="C865">
        <v>1474</v>
      </c>
      <c r="D865" t="s">
        <v>14</v>
      </c>
      <c r="E865" t="s">
        <v>1500</v>
      </c>
      <c r="F865" t="s">
        <v>1496</v>
      </c>
      <c r="G865">
        <v>97</v>
      </c>
      <c r="H865">
        <v>3</v>
      </c>
      <c r="I865">
        <v>1</v>
      </c>
      <c r="J865" t="s">
        <v>1484</v>
      </c>
      <c r="K865" t="s">
        <v>1485</v>
      </c>
      <c r="L865">
        <v>3</v>
      </c>
      <c r="M865" t="s">
        <v>15</v>
      </c>
      <c r="N865">
        <v>4</v>
      </c>
      <c r="O865" t="s">
        <v>13</v>
      </c>
      <c r="P865">
        <v>8</v>
      </c>
      <c r="Q865" s="4">
        <v>45805</v>
      </c>
      <c r="R865" s="4"/>
      <c r="S865" t="str">
        <f>TEXT(Table1[[#This Row],[Hiring Date]],"mmmm")</f>
        <v>May</v>
      </c>
      <c r="T865" s="1">
        <f>COUNTIF(S:S,Table1[[#This Row],[Months List]])</f>
        <v>0</v>
      </c>
      <c r="U865" t="str">
        <f>TEXT(Table1[[#This Row],[Hiring Date]],"dddd")</f>
        <v>Wednesday</v>
      </c>
      <c r="V865" s="1" t="str">
        <f>TEXT(Table1[[#This Row],[Hiring Date]],"yyyy")</f>
        <v>2025</v>
      </c>
    </row>
    <row r="866" spans="1:22">
      <c r="A866" t="s">
        <v>460</v>
      </c>
      <c r="B866">
        <v>36</v>
      </c>
      <c r="C866">
        <v>635</v>
      </c>
      <c r="D866" t="s">
        <v>11</v>
      </c>
      <c r="E866" t="s">
        <v>1495</v>
      </c>
      <c r="F866" t="s">
        <v>1496</v>
      </c>
      <c r="G866">
        <v>32</v>
      </c>
      <c r="H866">
        <v>3</v>
      </c>
      <c r="I866">
        <v>3</v>
      </c>
      <c r="J866" t="s">
        <v>1474</v>
      </c>
      <c r="K866" t="s">
        <v>1475</v>
      </c>
      <c r="L866">
        <v>4</v>
      </c>
      <c r="M866" t="s">
        <v>12</v>
      </c>
      <c r="N866">
        <v>1</v>
      </c>
      <c r="O866" t="s">
        <v>13</v>
      </c>
      <c r="P866">
        <v>10</v>
      </c>
      <c r="Q866" s="4">
        <v>45788</v>
      </c>
      <c r="R866" s="4"/>
      <c r="S866" t="str">
        <f>TEXT(Table1[[#This Row],[Hiring Date]],"mmmm")</f>
        <v>May</v>
      </c>
      <c r="T866" s="1">
        <f>COUNTIF(S:S,Table1[[#This Row],[Months List]])</f>
        <v>0</v>
      </c>
      <c r="U866" t="str">
        <f>TEXT(Table1[[#This Row],[Hiring Date]],"dddd")</f>
        <v>Sunday</v>
      </c>
      <c r="V866" s="1" t="str">
        <f>TEXT(Table1[[#This Row],[Hiring Date]],"yyyy")</f>
        <v>2025</v>
      </c>
    </row>
    <row r="867" spans="1:22">
      <c r="A867" t="s">
        <v>461</v>
      </c>
      <c r="B867">
        <v>22</v>
      </c>
      <c r="C867">
        <v>1368</v>
      </c>
      <c r="D867" t="s">
        <v>14</v>
      </c>
      <c r="E867" t="s">
        <v>1501</v>
      </c>
      <c r="F867" t="s">
        <v>1496</v>
      </c>
      <c r="G867">
        <v>99</v>
      </c>
      <c r="H867">
        <v>2</v>
      </c>
      <c r="I867">
        <v>1</v>
      </c>
      <c r="J867" t="s">
        <v>1484</v>
      </c>
      <c r="K867" t="s">
        <v>1485</v>
      </c>
      <c r="L867">
        <v>3</v>
      </c>
      <c r="M867" t="s">
        <v>12</v>
      </c>
      <c r="N867">
        <v>5</v>
      </c>
      <c r="O867" t="s">
        <v>13</v>
      </c>
      <c r="P867">
        <v>4</v>
      </c>
      <c r="Q867" s="4">
        <v>45735</v>
      </c>
      <c r="R867" s="4"/>
      <c r="S867" t="str">
        <f>TEXT(Table1[[#This Row],[Hiring Date]],"mmmm")</f>
        <v>March</v>
      </c>
      <c r="T867" s="1">
        <f>COUNTIF(S:S,Table1[[#This Row],[Months List]])</f>
        <v>0</v>
      </c>
      <c r="U867" t="str">
        <f>TEXT(Table1[[#This Row],[Hiring Date]],"dddd")</f>
        <v>Wednesday</v>
      </c>
      <c r="V867" s="1" t="str">
        <f>TEXT(Table1[[#This Row],[Hiring Date]],"yyyy")</f>
        <v>2025</v>
      </c>
    </row>
    <row r="868" spans="1:22">
      <c r="A868" t="s">
        <v>462</v>
      </c>
      <c r="B868">
        <v>48</v>
      </c>
      <c r="C868">
        <v>163</v>
      </c>
      <c r="D868" t="s">
        <v>11</v>
      </c>
      <c r="E868" t="s">
        <v>1498</v>
      </c>
      <c r="F868" t="s">
        <v>1499</v>
      </c>
      <c r="G868">
        <v>37</v>
      </c>
      <c r="H868">
        <v>3</v>
      </c>
      <c r="I868">
        <v>2</v>
      </c>
      <c r="J868" t="s">
        <v>1474</v>
      </c>
      <c r="K868" t="s">
        <v>1475</v>
      </c>
      <c r="L868">
        <v>4</v>
      </c>
      <c r="M868" t="s">
        <v>15</v>
      </c>
      <c r="N868">
        <v>2</v>
      </c>
      <c r="O868" t="s">
        <v>13</v>
      </c>
      <c r="P868">
        <v>14</v>
      </c>
      <c r="Q868" s="4">
        <v>45671</v>
      </c>
      <c r="R868" s="4"/>
      <c r="S868" t="str">
        <f>TEXT(Table1[[#This Row],[Hiring Date]],"mmmm")</f>
        <v>January</v>
      </c>
      <c r="T868" s="1">
        <f>COUNTIF(S:S,Table1[[#This Row],[Months List]])</f>
        <v>0</v>
      </c>
      <c r="U868" t="str">
        <f>TEXT(Table1[[#This Row],[Hiring Date]],"dddd")</f>
        <v>Tuesday</v>
      </c>
      <c r="V868" s="1" t="str">
        <f>TEXT(Table1[[#This Row],[Hiring Date]],"yyyy")</f>
        <v>2025</v>
      </c>
    </row>
    <row r="869" spans="1:22">
      <c r="A869" t="s">
        <v>463</v>
      </c>
      <c r="B869">
        <v>55</v>
      </c>
      <c r="C869">
        <v>1117</v>
      </c>
      <c r="D869" t="s">
        <v>11</v>
      </c>
      <c r="E869" t="s">
        <v>1497</v>
      </c>
      <c r="F869" t="s">
        <v>1499</v>
      </c>
      <c r="G869">
        <v>83</v>
      </c>
      <c r="H869">
        <v>3</v>
      </c>
      <c r="I869">
        <v>4</v>
      </c>
      <c r="J869" t="s">
        <v>1482</v>
      </c>
      <c r="K869" t="s">
        <v>1483</v>
      </c>
      <c r="L869">
        <v>2</v>
      </c>
      <c r="M869" t="s">
        <v>12</v>
      </c>
      <c r="N869">
        <v>3</v>
      </c>
      <c r="O869" t="s">
        <v>13</v>
      </c>
      <c r="P869">
        <v>37</v>
      </c>
      <c r="Q869" s="4">
        <v>45825</v>
      </c>
      <c r="R869" s="4"/>
      <c r="S869" t="str">
        <f>TEXT(Table1[[#This Row],[Hiring Date]],"mmmm")</f>
        <v>June</v>
      </c>
      <c r="T869" s="1">
        <f>COUNTIF(S:S,Table1[[#This Row],[Months List]])</f>
        <v>0</v>
      </c>
      <c r="U869" t="str">
        <f>TEXT(Table1[[#This Row],[Hiring Date]],"dddd")</f>
        <v>Tuesday</v>
      </c>
      <c r="V869" s="1" t="str">
        <f>TEXT(Table1[[#This Row],[Hiring Date]],"yyyy")</f>
        <v>2025</v>
      </c>
    </row>
    <row r="870" spans="1:22">
      <c r="A870" t="s">
        <v>464</v>
      </c>
      <c r="B870">
        <v>41</v>
      </c>
      <c r="C870">
        <v>267</v>
      </c>
      <c r="D870" t="s">
        <v>11</v>
      </c>
      <c r="E870" t="s">
        <v>1497</v>
      </c>
      <c r="F870" t="s">
        <v>1496</v>
      </c>
      <c r="G870">
        <v>56</v>
      </c>
      <c r="H870">
        <v>3</v>
      </c>
      <c r="I870">
        <v>2</v>
      </c>
      <c r="J870" t="s">
        <v>1474</v>
      </c>
      <c r="K870" t="s">
        <v>1475</v>
      </c>
      <c r="L870">
        <v>4</v>
      </c>
      <c r="M870" t="s">
        <v>12</v>
      </c>
      <c r="N870">
        <v>7</v>
      </c>
      <c r="O870" t="s">
        <v>13</v>
      </c>
      <c r="P870">
        <v>16</v>
      </c>
      <c r="Q870" s="4">
        <v>45968</v>
      </c>
      <c r="R870" s="4"/>
      <c r="S870" t="str">
        <f>TEXT(Table1[[#This Row],[Hiring Date]],"mmmm")</f>
        <v>November</v>
      </c>
      <c r="T870" s="1">
        <f>COUNTIF(S:S,Table1[[#This Row],[Months List]])</f>
        <v>0</v>
      </c>
      <c r="U870" t="str">
        <f>TEXT(Table1[[#This Row],[Hiring Date]],"dddd")</f>
        <v>Friday</v>
      </c>
      <c r="V870" s="1" t="str">
        <f>TEXT(Table1[[#This Row],[Hiring Date]],"yyyy")</f>
        <v>2025</v>
      </c>
    </row>
    <row r="871" spans="1:22">
      <c r="A871" t="s">
        <v>465</v>
      </c>
      <c r="B871">
        <v>35</v>
      </c>
      <c r="C871">
        <v>619</v>
      </c>
      <c r="D871" t="s">
        <v>11</v>
      </c>
      <c r="E871" t="s">
        <v>1498</v>
      </c>
      <c r="F871" t="s">
        <v>1496</v>
      </c>
      <c r="G871">
        <v>85</v>
      </c>
      <c r="H871">
        <v>3</v>
      </c>
      <c r="I871">
        <v>2</v>
      </c>
      <c r="J871" t="s">
        <v>1474</v>
      </c>
      <c r="K871" t="s">
        <v>1475</v>
      </c>
      <c r="L871">
        <v>3</v>
      </c>
      <c r="M871" t="s">
        <v>15</v>
      </c>
      <c r="N871">
        <v>9</v>
      </c>
      <c r="O871" t="s">
        <v>13</v>
      </c>
      <c r="P871">
        <v>15</v>
      </c>
      <c r="Q871" s="4">
        <v>45841</v>
      </c>
      <c r="R871" s="4"/>
      <c r="S871" t="str">
        <f>TEXT(Table1[[#This Row],[Hiring Date]],"mmmm")</f>
        <v>July</v>
      </c>
      <c r="T871" s="1">
        <f>COUNTIF(S:S,Table1[[#This Row],[Months List]])</f>
        <v>0</v>
      </c>
      <c r="U871" t="str">
        <f>TEXT(Table1[[#This Row],[Hiring Date]],"dddd")</f>
        <v>Thursday</v>
      </c>
      <c r="V871" s="1" t="str">
        <f>TEXT(Table1[[#This Row],[Hiring Date]],"yyyy")</f>
        <v>2025</v>
      </c>
    </row>
    <row r="872" spans="1:22">
      <c r="A872" t="s">
        <v>466</v>
      </c>
      <c r="B872">
        <v>40</v>
      </c>
      <c r="C872">
        <v>302</v>
      </c>
      <c r="D872" t="s">
        <v>14</v>
      </c>
      <c r="E872" t="s">
        <v>1497</v>
      </c>
      <c r="F872" t="s">
        <v>1499</v>
      </c>
      <c r="G872">
        <v>75</v>
      </c>
      <c r="H872">
        <v>3</v>
      </c>
      <c r="I872">
        <v>4</v>
      </c>
      <c r="J872" t="s">
        <v>1480</v>
      </c>
      <c r="K872" t="s">
        <v>1481</v>
      </c>
      <c r="L872">
        <v>3</v>
      </c>
      <c r="M872" t="s">
        <v>12</v>
      </c>
      <c r="N872">
        <v>7</v>
      </c>
      <c r="O872" t="s">
        <v>13</v>
      </c>
      <c r="P872">
        <v>22</v>
      </c>
      <c r="Q872" s="4">
        <v>45920</v>
      </c>
      <c r="R872" s="4"/>
      <c r="S872" t="str">
        <f>TEXT(Table1[[#This Row],[Hiring Date]],"mmmm")</f>
        <v>September</v>
      </c>
      <c r="T872" s="1">
        <f>COUNTIF(S:S,Table1[[#This Row],[Months List]])</f>
        <v>0</v>
      </c>
      <c r="U872" t="str">
        <f>TEXT(Table1[[#This Row],[Hiring Date]],"dddd")</f>
        <v>Saturday</v>
      </c>
      <c r="V872" s="1" t="str">
        <f>TEXT(Table1[[#This Row],[Hiring Date]],"yyyy")</f>
        <v>2025</v>
      </c>
    </row>
    <row r="873" spans="1:22">
      <c r="A873" t="s">
        <v>53</v>
      </c>
      <c r="B873">
        <v>43</v>
      </c>
      <c r="C873">
        <v>1273</v>
      </c>
      <c r="D873" t="s">
        <v>14</v>
      </c>
      <c r="E873" t="s">
        <v>1495</v>
      </c>
      <c r="F873" t="s">
        <v>1499</v>
      </c>
      <c r="G873">
        <v>72</v>
      </c>
      <c r="H873">
        <v>4</v>
      </c>
      <c r="I873">
        <v>1</v>
      </c>
      <c r="J873" t="s">
        <v>1476</v>
      </c>
      <c r="K873" t="s">
        <v>1477</v>
      </c>
      <c r="L873">
        <v>3</v>
      </c>
      <c r="M873" t="s">
        <v>16</v>
      </c>
      <c r="N873">
        <v>1</v>
      </c>
      <c r="O873" t="s">
        <v>13</v>
      </c>
      <c r="P873">
        <v>6</v>
      </c>
      <c r="Q873" s="4">
        <v>45767</v>
      </c>
      <c r="R873" s="4"/>
      <c r="S873" t="str">
        <f>TEXT(Table1[[#This Row],[Hiring Date]],"mmmm")</f>
        <v>April</v>
      </c>
      <c r="T873" s="1">
        <f>COUNTIF(S:S,Table1[[#This Row],[Months List]])</f>
        <v>0</v>
      </c>
      <c r="U873" t="str">
        <f>TEXT(Table1[[#This Row],[Hiring Date]],"dddd")</f>
        <v>Sunday</v>
      </c>
      <c r="V873" s="1" t="str">
        <f>TEXT(Table1[[#This Row],[Hiring Date]],"yyyy")</f>
        <v>2025</v>
      </c>
    </row>
    <row r="874" spans="1:22">
      <c r="A874" t="s">
        <v>467</v>
      </c>
      <c r="B874">
        <v>39</v>
      </c>
      <c r="C874">
        <v>443</v>
      </c>
      <c r="D874" t="s">
        <v>14</v>
      </c>
      <c r="E874" t="s">
        <v>1497</v>
      </c>
      <c r="F874" t="s">
        <v>1499</v>
      </c>
      <c r="G874">
        <v>48</v>
      </c>
      <c r="H874">
        <v>3</v>
      </c>
      <c r="I874">
        <v>1</v>
      </c>
      <c r="J874" t="s">
        <v>1484</v>
      </c>
      <c r="K874" t="s">
        <v>1485</v>
      </c>
      <c r="L874">
        <v>3</v>
      </c>
      <c r="M874" t="s">
        <v>15</v>
      </c>
      <c r="N874">
        <v>1</v>
      </c>
      <c r="O874" t="s">
        <v>13</v>
      </c>
      <c r="P874">
        <v>8</v>
      </c>
      <c r="Q874" s="4">
        <v>45697</v>
      </c>
      <c r="R874" s="4"/>
      <c r="S874" t="str">
        <f>TEXT(Table1[[#This Row],[Hiring Date]],"mmmm")</f>
        <v>February</v>
      </c>
      <c r="T874" s="1">
        <f>COUNTIF(S:S,Table1[[#This Row],[Months List]])</f>
        <v>0</v>
      </c>
      <c r="U874" t="str">
        <f>TEXT(Table1[[#This Row],[Hiring Date]],"dddd")</f>
        <v>Sunday</v>
      </c>
      <c r="V874" s="1" t="str">
        <f>TEXT(Table1[[#This Row],[Hiring Date]],"yyyy")</f>
        <v>2025</v>
      </c>
    </row>
    <row r="875" spans="1:22">
      <c r="A875" t="s">
        <v>468</v>
      </c>
      <c r="B875">
        <v>31</v>
      </c>
      <c r="C875">
        <v>828</v>
      </c>
      <c r="D875" t="s">
        <v>11</v>
      </c>
      <c r="E875" t="s">
        <v>1497</v>
      </c>
      <c r="F875" t="s">
        <v>1496</v>
      </c>
      <c r="G875">
        <v>77</v>
      </c>
      <c r="H875">
        <v>3</v>
      </c>
      <c r="I875">
        <v>2</v>
      </c>
      <c r="J875" t="s">
        <v>1474</v>
      </c>
      <c r="K875" t="s">
        <v>1475</v>
      </c>
      <c r="L875">
        <v>4</v>
      </c>
      <c r="M875" t="s">
        <v>12</v>
      </c>
      <c r="N875">
        <v>4</v>
      </c>
      <c r="O875" t="s">
        <v>10</v>
      </c>
      <c r="P875">
        <v>10</v>
      </c>
      <c r="Q875" s="4">
        <v>45919</v>
      </c>
      <c r="R875" s="4"/>
      <c r="S875" t="str">
        <f>TEXT(Table1[[#This Row],[Hiring Date]],"mmmm")</f>
        <v>September</v>
      </c>
      <c r="T875" s="1">
        <f>COUNTIF(S:S,Table1[[#This Row],[Months List]])</f>
        <v>0</v>
      </c>
      <c r="U875" t="str">
        <f>TEXT(Table1[[#This Row],[Hiring Date]],"dddd")</f>
        <v>Friday</v>
      </c>
      <c r="V875" s="1" t="str">
        <f>TEXT(Table1[[#This Row],[Hiring Date]],"yyyy")</f>
        <v>2025</v>
      </c>
    </row>
    <row r="876" spans="1:22">
      <c r="A876" t="s">
        <v>469</v>
      </c>
      <c r="B876">
        <v>42</v>
      </c>
      <c r="C876">
        <v>319</v>
      </c>
      <c r="D876" t="s">
        <v>14</v>
      </c>
      <c r="E876" t="s">
        <v>1495</v>
      </c>
      <c r="F876" t="s">
        <v>1496</v>
      </c>
      <c r="G876">
        <v>56</v>
      </c>
      <c r="H876">
        <v>3</v>
      </c>
      <c r="I876">
        <v>3</v>
      </c>
      <c r="J876" t="s">
        <v>1480</v>
      </c>
      <c r="K876" t="s">
        <v>1481</v>
      </c>
      <c r="L876">
        <v>1</v>
      </c>
      <c r="M876" t="s">
        <v>15</v>
      </c>
      <c r="N876">
        <v>1</v>
      </c>
      <c r="O876" t="s">
        <v>10</v>
      </c>
      <c r="P876">
        <v>10</v>
      </c>
      <c r="Q876" s="4">
        <v>45638</v>
      </c>
      <c r="R876" s="4"/>
      <c r="S876" t="str">
        <f>TEXT(Table1[[#This Row],[Hiring Date]],"mmmm")</f>
        <v>December</v>
      </c>
      <c r="T876" s="1">
        <f>COUNTIF(S:S,Table1[[#This Row],[Months List]])</f>
        <v>0</v>
      </c>
      <c r="U876" t="str">
        <f>TEXT(Table1[[#This Row],[Hiring Date]],"dddd")</f>
        <v>Thursday</v>
      </c>
      <c r="V876" s="1" t="str">
        <f>TEXT(Table1[[#This Row],[Hiring Date]],"yyyy")</f>
        <v>2024</v>
      </c>
    </row>
    <row r="877" spans="1:22">
      <c r="A877" t="s">
        <v>470</v>
      </c>
      <c r="B877">
        <v>45</v>
      </c>
      <c r="C877">
        <v>561</v>
      </c>
      <c r="D877" t="s">
        <v>11</v>
      </c>
      <c r="E877" t="s">
        <v>1500</v>
      </c>
      <c r="F877" t="s">
        <v>1496</v>
      </c>
      <c r="G877">
        <v>61</v>
      </c>
      <c r="H877">
        <v>3</v>
      </c>
      <c r="I877">
        <v>2</v>
      </c>
      <c r="J877" t="s">
        <v>1474</v>
      </c>
      <c r="K877" t="s">
        <v>1475</v>
      </c>
      <c r="L877">
        <v>2</v>
      </c>
      <c r="M877" t="s">
        <v>15</v>
      </c>
      <c r="N877">
        <v>0</v>
      </c>
      <c r="O877" t="s">
        <v>13</v>
      </c>
      <c r="P877">
        <v>9</v>
      </c>
      <c r="Q877" s="4">
        <v>45746</v>
      </c>
      <c r="R877" s="4"/>
      <c r="S877" t="str">
        <f>TEXT(Table1[[#This Row],[Hiring Date]],"mmmm")</f>
        <v>March</v>
      </c>
      <c r="T877" s="1">
        <f>COUNTIF(S:S,Table1[[#This Row],[Months List]])</f>
        <v>0</v>
      </c>
      <c r="U877" t="str">
        <f>TEXT(Table1[[#This Row],[Hiring Date]],"dddd")</f>
        <v>Sunday</v>
      </c>
      <c r="V877" s="1" t="str">
        <f>TEXT(Table1[[#This Row],[Hiring Date]],"yyyy")</f>
        <v>2025</v>
      </c>
    </row>
    <row r="878" spans="1:22">
      <c r="A878" t="s">
        <v>471</v>
      </c>
      <c r="B878">
        <v>26</v>
      </c>
      <c r="C878">
        <v>426</v>
      </c>
      <c r="D878" t="s">
        <v>17</v>
      </c>
      <c r="E878" t="s">
        <v>1497</v>
      </c>
      <c r="F878" t="s">
        <v>1499</v>
      </c>
      <c r="G878">
        <v>58</v>
      </c>
      <c r="H878">
        <v>3</v>
      </c>
      <c r="I878">
        <v>1</v>
      </c>
      <c r="J878" t="s">
        <v>1486</v>
      </c>
      <c r="K878" t="s">
        <v>17</v>
      </c>
      <c r="L878">
        <v>3</v>
      </c>
      <c r="M878" t="s">
        <v>16</v>
      </c>
      <c r="N878">
        <v>0</v>
      </c>
      <c r="O878" t="s">
        <v>10</v>
      </c>
      <c r="P878">
        <v>8</v>
      </c>
      <c r="Q878" s="4">
        <v>45798</v>
      </c>
      <c r="R878" s="4"/>
      <c r="S878" t="str">
        <f>TEXT(Table1[[#This Row],[Hiring Date]],"mmmm")</f>
        <v>May</v>
      </c>
      <c r="T878" s="1">
        <f>COUNTIF(S:S,Table1[[#This Row],[Months List]])</f>
        <v>0</v>
      </c>
      <c r="U878" t="str">
        <f>TEXT(Table1[[#This Row],[Hiring Date]],"dddd")</f>
        <v>Wednesday</v>
      </c>
      <c r="V878" s="1" t="str">
        <f>TEXT(Table1[[#This Row],[Hiring Date]],"yyyy")</f>
        <v>2025</v>
      </c>
    </row>
    <row r="879" spans="1:22">
      <c r="A879" t="s">
        <v>472</v>
      </c>
      <c r="B879">
        <v>29</v>
      </c>
      <c r="C879">
        <v>232</v>
      </c>
      <c r="D879" t="s">
        <v>14</v>
      </c>
      <c r="E879" t="s">
        <v>1501</v>
      </c>
      <c r="F879" t="s">
        <v>1496</v>
      </c>
      <c r="G879">
        <v>34</v>
      </c>
      <c r="H879">
        <v>3</v>
      </c>
      <c r="I879">
        <v>2</v>
      </c>
      <c r="J879" t="s">
        <v>1480</v>
      </c>
      <c r="K879" t="s">
        <v>1481</v>
      </c>
      <c r="L879">
        <v>4</v>
      </c>
      <c r="M879" t="s">
        <v>16</v>
      </c>
      <c r="N879">
        <v>4</v>
      </c>
      <c r="O879" t="s">
        <v>13</v>
      </c>
      <c r="P879">
        <v>8</v>
      </c>
      <c r="Q879" s="4">
        <v>45797</v>
      </c>
      <c r="R879" s="4"/>
      <c r="S879" t="str">
        <f>TEXT(Table1[[#This Row],[Hiring Date]],"mmmm")</f>
        <v>May</v>
      </c>
      <c r="T879" s="1">
        <f>COUNTIF(S:S,Table1[[#This Row],[Months List]])</f>
        <v>0</v>
      </c>
      <c r="U879" t="str">
        <f>TEXT(Table1[[#This Row],[Hiring Date]],"dddd")</f>
        <v>Tuesday</v>
      </c>
      <c r="V879" s="1" t="str">
        <f>TEXT(Table1[[#This Row],[Hiring Date]],"yyyy")</f>
        <v>2025</v>
      </c>
    </row>
    <row r="880" spans="1:22">
      <c r="A880" t="s">
        <v>473</v>
      </c>
      <c r="B880">
        <v>33</v>
      </c>
      <c r="C880">
        <v>922</v>
      </c>
      <c r="D880" t="s">
        <v>14</v>
      </c>
      <c r="E880" t="s">
        <v>1495</v>
      </c>
      <c r="F880" t="s">
        <v>1499</v>
      </c>
      <c r="G880">
        <v>95</v>
      </c>
      <c r="H880">
        <v>4</v>
      </c>
      <c r="I880">
        <v>4</v>
      </c>
      <c r="J880" t="s">
        <v>1487</v>
      </c>
      <c r="K880" t="s">
        <v>1488</v>
      </c>
      <c r="L880">
        <v>3</v>
      </c>
      <c r="M880" t="s">
        <v>16</v>
      </c>
      <c r="N880">
        <v>4</v>
      </c>
      <c r="O880" t="s">
        <v>13</v>
      </c>
      <c r="P880">
        <v>10</v>
      </c>
      <c r="Q880" s="4">
        <v>45847</v>
      </c>
      <c r="R880" s="4"/>
      <c r="S880" t="str">
        <f>TEXT(Table1[[#This Row],[Hiring Date]],"mmmm")</f>
        <v>July</v>
      </c>
      <c r="T880" s="1">
        <f>COUNTIF(S:S,Table1[[#This Row],[Months List]])</f>
        <v>0</v>
      </c>
      <c r="U880" t="str">
        <f>TEXT(Table1[[#This Row],[Hiring Date]],"dddd")</f>
        <v>Wednesday</v>
      </c>
      <c r="V880" s="1" t="str">
        <f>TEXT(Table1[[#This Row],[Hiring Date]],"yyyy")</f>
        <v>2025</v>
      </c>
    </row>
    <row r="881" spans="1:22">
      <c r="A881" t="s">
        <v>474</v>
      </c>
      <c r="B881">
        <v>31</v>
      </c>
      <c r="C881">
        <v>688</v>
      </c>
      <c r="D881" t="s">
        <v>11</v>
      </c>
      <c r="E881" t="s">
        <v>1497</v>
      </c>
      <c r="F881" t="s">
        <v>1496</v>
      </c>
      <c r="G881">
        <v>44</v>
      </c>
      <c r="H881">
        <v>2</v>
      </c>
      <c r="I881">
        <v>3</v>
      </c>
      <c r="J881" t="s">
        <v>1482</v>
      </c>
      <c r="K881" t="s">
        <v>1483</v>
      </c>
      <c r="L881">
        <v>4</v>
      </c>
      <c r="M881" t="s">
        <v>16</v>
      </c>
      <c r="N881">
        <v>9</v>
      </c>
      <c r="O881" t="s">
        <v>13</v>
      </c>
      <c r="P881">
        <v>10</v>
      </c>
      <c r="Q881" s="4">
        <v>45873</v>
      </c>
      <c r="R881" s="4"/>
      <c r="S881" t="str">
        <f>TEXT(Table1[[#This Row],[Hiring Date]],"mmmm")</f>
        <v>August</v>
      </c>
      <c r="T881" s="1">
        <f>COUNTIF(S:S,Table1[[#This Row],[Months List]])</f>
        <v>0</v>
      </c>
      <c r="U881" t="str">
        <f>TEXT(Table1[[#This Row],[Hiring Date]],"dddd")</f>
        <v>Monday</v>
      </c>
      <c r="V881" s="1" t="str">
        <f>TEXT(Table1[[#This Row],[Hiring Date]],"yyyy")</f>
        <v>2025</v>
      </c>
    </row>
    <row r="882" spans="1:22">
      <c r="A882" t="s">
        <v>475</v>
      </c>
      <c r="B882">
        <v>18</v>
      </c>
      <c r="C882">
        <v>1306</v>
      </c>
      <c r="D882" t="s">
        <v>11</v>
      </c>
      <c r="E882" t="s">
        <v>1498</v>
      </c>
      <c r="F882" t="s">
        <v>1496</v>
      </c>
      <c r="G882">
        <v>69</v>
      </c>
      <c r="H882">
        <v>3</v>
      </c>
      <c r="I882">
        <v>1</v>
      </c>
      <c r="J882" t="s">
        <v>1489</v>
      </c>
      <c r="K882" t="s">
        <v>1490</v>
      </c>
      <c r="L882">
        <v>2</v>
      </c>
      <c r="M882" t="s">
        <v>12</v>
      </c>
      <c r="N882">
        <v>1</v>
      </c>
      <c r="O882" t="s">
        <v>10</v>
      </c>
      <c r="P882">
        <v>0</v>
      </c>
      <c r="Q882" s="4">
        <v>45714</v>
      </c>
      <c r="R882" s="4"/>
      <c r="S882" t="str">
        <f>TEXT(Table1[[#This Row],[Hiring Date]],"mmmm")</f>
        <v>February</v>
      </c>
      <c r="T882" s="1">
        <f>COUNTIF(S:S,Table1[[#This Row],[Months List]])</f>
        <v>0</v>
      </c>
      <c r="U882" t="str">
        <f>TEXT(Table1[[#This Row],[Hiring Date]],"dddd")</f>
        <v>Wednesday</v>
      </c>
      <c r="V882" s="1" t="str">
        <f>TEXT(Table1[[#This Row],[Hiring Date]],"yyyy")</f>
        <v>2025</v>
      </c>
    </row>
    <row r="883" spans="1:22">
      <c r="A883" t="s">
        <v>476</v>
      </c>
      <c r="B883">
        <v>40</v>
      </c>
      <c r="C883">
        <v>1094</v>
      </c>
      <c r="D883" t="s">
        <v>11</v>
      </c>
      <c r="E883" t="s">
        <v>1500</v>
      </c>
      <c r="F883" t="s">
        <v>1496</v>
      </c>
      <c r="G883">
        <v>58</v>
      </c>
      <c r="H883">
        <v>1</v>
      </c>
      <c r="I883">
        <v>3</v>
      </c>
      <c r="J883" t="s">
        <v>1474</v>
      </c>
      <c r="K883" t="s">
        <v>1475</v>
      </c>
      <c r="L883">
        <v>1</v>
      </c>
      <c r="M883" t="s">
        <v>16</v>
      </c>
      <c r="N883">
        <v>3</v>
      </c>
      <c r="O883" t="s">
        <v>13</v>
      </c>
      <c r="P883">
        <v>20</v>
      </c>
      <c r="Q883" s="4">
        <v>45708</v>
      </c>
      <c r="R883" s="4"/>
      <c r="S883" t="str">
        <f>TEXT(Table1[[#This Row],[Hiring Date]],"mmmm")</f>
        <v>February</v>
      </c>
      <c r="T883" s="1">
        <f>COUNTIF(S:S,Table1[[#This Row],[Months List]])</f>
        <v>0</v>
      </c>
      <c r="U883" t="str">
        <f>TEXT(Table1[[#This Row],[Hiring Date]],"dddd")</f>
        <v>Thursday</v>
      </c>
      <c r="V883" s="1" t="str">
        <f>TEXT(Table1[[#This Row],[Hiring Date]],"yyyy")</f>
        <v>2025</v>
      </c>
    </row>
    <row r="884" spans="1:22">
      <c r="A884" t="s">
        <v>54</v>
      </c>
      <c r="B884">
        <v>50</v>
      </c>
      <c r="C884">
        <v>869</v>
      </c>
      <c r="D884" t="s">
        <v>11</v>
      </c>
      <c r="E884" t="s">
        <v>1498</v>
      </c>
      <c r="F884" t="s">
        <v>1496</v>
      </c>
      <c r="G884">
        <v>86</v>
      </c>
      <c r="H884">
        <v>2</v>
      </c>
      <c r="I884">
        <v>1</v>
      </c>
      <c r="J884" t="s">
        <v>1489</v>
      </c>
      <c r="K884" t="s">
        <v>1490</v>
      </c>
      <c r="L884">
        <v>3</v>
      </c>
      <c r="M884" t="s">
        <v>15</v>
      </c>
      <c r="N884">
        <v>1</v>
      </c>
      <c r="O884" t="s">
        <v>10</v>
      </c>
      <c r="P884">
        <v>3</v>
      </c>
      <c r="Q884" s="4">
        <v>45909</v>
      </c>
      <c r="R884" s="4"/>
      <c r="S884" t="str">
        <f>TEXT(Table1[[#This Row],[Hiring Date]],"mmmm")</f>
        <v>September</v>
      </c>
      <c r="T884" s="1">
        <f>COUNTIF(S:S,Table1[[#This Row],[Months List]])</f>
        <v>0</v>
      </c>
      <c r="U884" t="str">
        <f>TEXT(Table1[[#This Row],[Hiring Date]],"dddd")</f>
        <v>Tuesday</v>
      </c>
      <c r="V884" s="1" t="str">
        <f>TEXT(Table1[[#This Row],[Hiring Date]],"yyyy")</f>
        <v>2025</v>
      </c>
    </row>
    <row r="885" spans="1:22">
      <c r="A885" t="s">
        <v>477</v>
      </c>
      <c r="B885">
        <v>41</v>
      </c>
      <c r="C885">
        <v>509</v>
      </c>
      <c r="D885" t="s">
        <v>14</v>
      </c>
      <c r="E885" t="s">
        <v>1500</v>
      </c>
      <c r="F885" t="s">
        <v>1499</v>
      </c>
      <c r="G885">
        <v>62</v>
      </c>
      <c r="H885">
        <v>2</v>
      </c>
      <c r="I885">
        <v>2</v>
      </c>
      <c r="J885" t="s">
        <v>1478</v>
      </c>
      <c r="K885" t="s">
        <v>1479</v>
      </c>
      <c r="L885">
        <v>3</v>
      </c>
      <c r="M885" t="s">
        <v>12</v>
      </c>
      <c r="N885">
        <v>2</v>
      </c>
      <c r="O885" t="s">
        <v>10</v>
      </c>
      <c r="P885">
        <v>10</v>
      </c>
      <c r="Q885" s="4">
        <v>45786</v>
      </c>
      <c r="R885" s="4"/>
      <c r="S885" t="str">
        <f>TEXT(Table1[[#This Row],[Hiring Date]],"mmmm")</f>
        <v>May</v>
      </c>
      <c r="T885" s="1">
        <f>COUNTIF(S:S,Table1[[#This Row],[Months List]])</f>
        <v>0</v>
      </c>
      <c r="U885" t="str">
        <f>TEXT(Table1[[#This Row],[Hiring Date]],"dddd")</f>
        <v>Friday</v>
      </c>
      <c r="V885" s="1" t="str">
        <f>TEXT(Table1[[#This Row],[Hiring Date]],"yyyy")</f>
        <v>2025</v>
      </c>
    </row>
    <row r="886" spans="1:22">
      <c r="A886" t="s">
        <v>478</v>
      </c>
      <c r="B886">
        <v>26</v>
      </c>
      <c r="C886">
        <v>775</v>
      </c>
      <c r="D886" t="s">
        <v>11</v>
      </c>
      <c r="E886" t="s">
        <v>1495</v>
      </c>
      <c r="F886" t="s">
        <v>1496</v>
      </c>
      <c r="G886">
        <v>45</v>
      </c>
      <c r="H886">
        <v>3</v>
      </c>
      <c r="I886">
        <v>2</v>
      </c>
      <c r="J886" t="s">
        <v>1474</v>
      </c>
      <c r="K886" t="s">
        <v>1475</v>
      </c>
      <c r="L886">
        <v>3</v>
      </c>
      <c r="M886" t="s">
        <v>16</v>
      </c>
      <c r="N886">
        <v>5</v>
      </c>
      <c r="O886" t="s">
        <v>13</v>
      </c>
      <c r="P886">
        <v>8</v>
      </c>
      <c r="Q886" s="4">
        <v>45647</v>
      </c>
      <c r="R886" s="4"/>
      <c r="S886" t="str">
        <f>TEXT(Table1[[#This Row],[Hiring Date]],"mmmm")</f>
        <v>December</v>
      </c>
      <c r="T886" s="1">
        <f>COUNTIF(S:S,Table1[[#This Row],[Months List]])</f>
        <v>0</v>
      </c>
      <c r="U886" t="str">
        <f>TEXT(Table1[[#This Row],[Hiring Date]],"dddd")</f>
        <v>Saturday</v>
      </c>
      <c r="V886" s="1" t="str">
        <f>TEXT(Table1[[#This Row],[Hiring Date]],"yyyy")</f>
        <v>2024</v>
      </c>
    </row>
    <row r="887" spans="1:22">
      <c r="A887" t="s">
        <v>479</v>
      </c>
      <c r="B887">
        <v>35</v>
      </c>
      <c r="C887">
        <v>195</v>
      </c>
      <c r="D887" t="s">
        <v>11</v>
      </c>
      <c r="E887" t="s">
        <v>1495</v>
      </c>
      <c r="F887" t="s">
        <v>1499</v>
      </c>
      <c r="G887">
        <v>80</v>
      </c>
      <c r="H887">
        <v>3</v>
      </c>
      <c r="I887">
        <v>2</v>
      </c>
      <c r="J887" t="s">
        <v>1474</v>
      </c>
      <c r="K887" t="s">
        <v>1475</v>
      </c>
      <c r="L887">
        <v>3</v>
      </c>
      <c r="M887" t="s">
        <v>12</v>
      </c>
      <c r="N887">
        <v>1</v>
      </c>
      <c r="O887" t="s">
        <v>13</v>
      </c>
      <c r="P887">
        <v>5</v>
      </c>
      <c r="Q887" s="4">
        <v>45934</v>
      </c>
      <c r="R887" s="4"/>
      <c r="S887" t="str">
        <f>TEXT(Table1[[#This Row],[Hiring Date]],"mmmm")</f>
        <v>October</v>
      </c>
      <c r="T887" s="1">
        <f>COUNTIF(S:S,Table1[[#This Row],[Months List]])</f>
        <v>0</v>
      </c>
      <c r="U887" t="str">
        <f>TEXT(Table1[[#This Row],[Hiring Date]],"dddd")</f>
        <v>Saturday</v>
      </c>
      <c r="V887" s="1" t="str">
        <f>TEXT(Table1[[#This Row],[Hiring Date]],"yyyy")</f>
        <v>2025</v>
      </c>
    </row>
    <row r="888" spans="1:22">
      <c r="A888" t="s">
        <v>480</v>
      </c>
      <c r="B888">
        <v>34</v>
      </c>
      <c r="C888">
        <v>258</v>
      </c>
      <c r="D888" t="s">
        <v>11</v>
      </c>
      <c r="E888" t="s">
        <v>1497</v>
      </c>
      <c r="F888" t="s">
        <v>1496</v>
      </c>
      <c r="G888">
        <v>74</v>
      </c>
      <c r="H888">
        <v>4</v>
      </c>
      <c r="I888">
        <v>2</v>
      </c>
      <c r="J888" t="s">
        <v>1474</v>
      </c>
      <c r="K888" t="s">
        <v>1475</v>
      </c>
      <c r="L888">
        <v>4</v>
      </c>
      <c r="M888" t="s">
        <v>12</v>
      </c>
      <c r="N888">
        <v>1</v>
      </c>
      <c r="O888" t="s">
        <v>13</v>
      </c>
      <c r="P888">
        <v>10</v>
      </c>
      <c r="Q888" s="4">
        <v>45660</v>
      </c>
      <c r="R888" s="4"/>
      <c r="S888" t="str">
        <f>TEXT(Table1[[#This Row],[Hiring Date]],"mmmm")</f>
        <v>January</v>
      </c>
      <c r="T888" s="1">
        <f>COUNTIF(S:S,Table1[[#This Row],[Months List]])</f>
        <v>0</v>
      </c>
      <c r="U888" t="str">
        <f>TEXT(Table1[[#This Row],[Hiring Date]],"dddd")</f>
        <v>Friday</v>
      </c>
      <c r="V888" s="1" t="str">
        <f>TEXT(Table1[[#This Row],[Hiring Date]],"yyyy")</f>
        <v>2025</v>
      </c>
    </row>
    <row r="889" spans="1:22">
      <c r="A889" t="s">
        <v>481</v>
      </c>
      <c r="B889">
        <v>26</v>
      </c>
      <c r="C889">
        <v>471</v>
      </c>
      <c r="D889" t="s">
        <v>14</v>
      </c>
      <c r="E889" t="s">
        <v>1501</v>
      </c>
      <c r="F889" t="s">
        <v>1496</v>
      </c>
      <c r="G889">
        <v>66</v>
      </c>
      <c r="H889">
        <v>1</v>
      </c>
      <c r="I889">
        <v>1</v>
      </c>
      <c r="J889" t="s">
        <v>1484</v>
      </c>
      <c r="K889" t="s">
        <v>1485</v>
      </c>
      <c r="L889">
        <v>4</v>
      </c>
      <c r="M889" t="s">
        <v>12</v>
      </c>
      <c r="N889">
        <v>1</v>
      </c>
      <c r="O889" t="s">
        <v>10</v>
      </c>
      <c r="P889">
        <v>1</v>
      </c>
      <c r="Q889" s="4">
        <v>45818</v>
      </c>
      <c r="R889" s="4"/>
      <c r="S889" t="str">
        <f>TEXT(Table1[[#This Row],[Hiring Date]],"mmmm")</f>
        <v>June</v>
      </c>
      <c r="T889" s="1">
        <f>COUNTIF(S:S,Table1[[#This Row],[Months List]])</f>
        <v>0</v>
      </c>
      <c r="U889" t="str">
        <f>TEXT(Table1[[#This Row],[Hiring Date]],"dddd")</f>
        <v>Tuesday</v>
      </c>
      <c r="V889" s="1" t="str">
        <f>TEXT(Table1[[#This Row],[Hiring Date]],"yyyy")</f>
        <v>2025</v>
      </c>
    </row>
    <row r="890" spans="1:22">
      <c r="A890" t="s">
        <v>482</v>
      </c>
      <c r="B890">
        <v>37</v>
      </c>
      <c r="C890">
        <v>799</v>
      </c>
      <c r="D890" t="s">
        <v>14</v>
      </c>
      <c r="E890" t="s">
        <v>1501</v>
      </c>
      <c r="F890" t="s">
        <v>1499</v>
      </c>
      <c r="G890">
        <v>59</v>
      </c>
      <c r="H890">
        <v>3</v>
      </c>
      <c r="I890">
        <v>3</v>
      </c>
      <c r="J890" t="s">
        <v>1480</v>
      </c>
      <c r="K890" t="s">
        <v>1481</v>
      </c>
      <c r="L890">
        <v>4</v>
      </c>
      <c r="M890" t="s">
        <v>12</v>
      </c>
      <c r="N890">
        <v>4</v>
      </c>
      <c r="O890" t="s">
        <v>13</v>
      </c>
      <c r="P890">
        <v>12</v>
      </c>
      <c r="Q890" s="4">
        <v>45635</v>
      </c>
      <c r="R890" s="4"/>
      <c r="S890" t="str">
        <f>TEXT(Table1[[#This Row],[Hiring Date]],"mmmm")</f>
        <v>December</v>
      </c>
      <c r="T890" s="1">
        <f>COUNTIF(S:S,Table1[[#This Row],[Months List]])</f>
        <v>0</v>
      </c>
      <c r="U890" t="str">
        <f>TEXT(Table1[[#This Row],[Hiring Date]],"dddd")</f>
        <v>Monday</v>
      </c>
      <c r="V890" s="1" t="str">
        <f>TEXT(Table1[[#This Row],[Hiring Date]],"yyyy")</f>
        <v>2024</v>
      </c>
    </row>
    <row r="891" spans="1:22">
      <c r="A891" t="s">
        <v>483</v>
      </c>
      <c r="B891">
        <v>46</v>
      </c>
      <c r="C891">
        <v>1034</v>
      </c>
      <c r="D891" t="s">
        <v>14</v>
      </c>
      <c r="E891" t="s">
        <v>1495</v>
      </c>
      <c r="F891" t="s">
        <v>1499</v>
      </c>
      <c r="G891">
        <v>86</v>
      </c>
      <c r="H891">
        <v>3</v>
      </c>
      <c r="I891">
        <v>3</v>
      </c>
      <c r="J891" t="s">
        <v>1478</v>
      </c>
      <c r="K891" t="s">
        <v>1479</v>
      </c>
      <c r="L891">
        <v>3</v>
      </c>
      <c r="M891" t="s">
        <v>15</v>
      </c>
      <c r="N891">
        <v>5</v>
      </c>
      <c r="O891" t="s">
        <v>13</v>
      </c>
      <c r="P891">
        <v>28</v>
      </c>
      <c r="Q891" s="4">
        <v>45876</v>
      </c>
      <c r="R891" s="4"/>
      <c r="S891" t="str">
        <f>TEXT(Table1[[#This Row],[Hiring Date]],"mmmm")</f>
        <v>August</v>
      </c>
      <c r="T891" s="1">
        <f>COUNTIF(S:S,Table1[[#This Row],[Months List]])</f>
        <v>0</v>
      </c>
      <c r="U891" t="str">
        <f>TEXT(Table1[[#This Row],[Hiring Date]],"dddd")</f>
        <v>Thursday</v>
      </c>
      <c r="V891" s="1" t="str">
        <f>TEXT(Table1[[#This Row],[Hiring Date]],"yyyy")</f>
        <v>2025</v>
      </c>
    </row>
    <row r="892" spans="1:22">
      <c r="A892" t="s">
        <v>484</v>
      </c>
      <c r="B892">
        <v>41</v>
      </c>
      <c r="C892">
        <v>1276</v>
      </c>
      <c r="D892" t="s">
        <v>11</v>
      </c>
      <c r="E892" t="s">
        <v>1497</v>
      </c>
      <c r="F892" t="s">
        <v>1499</v>
      </c>
      <c r="G892">
        <v>91</v>
      </c>
      <c r="H892">
        <v>3</v>
      </c>
      <c r="I892">
        <v>4</v>
      </c>
      <c r="J892" t="s">
        <v>1482</v>
      </c>
      <c r="K892" t="s">
        <v>1483</v>
      </c>
      <c r="L892">
        <v>1</v>
      </c>
      <c r="M892" t="s">
        <v>15</v>
      </c>
      <c r="N892">
        <v>7</v>
      </c>
      <c r="O892" t="s">
        <v>13</v>
      </c>
      <c r="P892">
        <v>22</v>
      </c>
      <c r="Q892" s="4">
        <v>45721</v>
      </c>
      <c r="R892" s="4"/>
      <c r="S892" t="str">
        <f>TEXT(Table1[[#This Row],[Hiring Date]],"mmmm")</f>
        <v>March</v>
      </c>
      <c r="T892" s="1">
        <f>COUNTIF(S:S,Table1[[#This Row],[Months List]])</f>
        <v>0</v>
      </c>
      <c r="U892" t="str">
        <f>TEXT(Table1[[#This Row],[Hiring Date]],"dddd")</f>
        <v>Wednesday</v>
      </c>
      <c r="V892" s="1" t="str">
        <f>TEXT(Table1[[#This Row],[Hiring Date]],"yyyy")</f>
        <v>2025</v>
      </c>
    </row>
    <row r="893" spans="1:22">
      <c r="A893" t="s">
        <v>485</v>
      </c>
      <c r="B893">
        <v>37</v>
      </c>
      <c r="C893">
        <v>142</v>
      </c>
      <c r="D893" t="s">
        <v>11</v>
      </c>
      <c r="E893" t="s">
        <v>1495</v>
      </c>
      <c r="F893" t="s">
        <v>1496</v>
      </c>
      <c r="G893">
        <v>69</v>
      </c>
      <c r="H893">
        <v>3</v>
      </c>
      <c r="I893">
        <v>3</v>
      </c>
      <c r="J893" t="s">
        <v>1474</v>
      </c>
      <c r="K893" t="s">
        <v>1475</v>
      </c>
      <c r="L893">
        <v>2</v>
      </c>
      <c r="M893" t="s">
        <v>16</v>
      </c>
      <c r="N893">
        <v>1</v>
      </c>
      <c r="O893" t="s">
        <v>13</v>
      </c>
      <c r="P893">
        <v>9</v>
      </c>
      <c r="Q893" s="4">
        <v>45645</v>
      </c>
      <c r="R893" s="4"/>
      <c r="S893" t="str">
        <f>TEXT(Table1[[#This Row],[Hiring Date]],"mmmm")</f>
        <v>December</v>
      </c>
      <c r="T893" s="1">
        <f>COUNTIF(S:S,Table1[[#This Row],[Months List]])</f>
        <v>0</v>
      </c>
      <c r="U893" t="str">
        <f>TEXT(Table1[[#This Row],[Hiring Date]],"dddd")</f>
        <v>Thursday</v>
      </c>
      <c r="V893" s="1" t="str">
        <f>TEXT(Table1[[#This Row],[Hiring Date]],"yyyy")</f>
        <v>2024</v>
      </c>
    </row>
    <row r="894" spans="1:22">
      <c r="A894" t="s">
        <v>486</v>
      </c>
      <c r="B894">
        <v>52</v>
      </c>
      <c r="C894">
        <v>956</v>
      </c>
      <c r="D894" t="s">
        <v>14</v>
      </c>
      <c r="E894" t="s">
        <v>1501</v>
      </c>
      <c r="F894" t="s">
        <v>1496</v>
      </c>
      <c r="G894">
        <v>78</v>
      </c>
      <c r="H894">
        <v>3</v>
      </c>
      <c r="I894">
        <v>2</v>
      </c>
      <c r="J894" t="s">
        <v>1476</v>
      </c>
      <c r="K894" t="s">
        <v>1477</v>
      </c>
      <c r="L894">
        <v>1</v>
      </c>
      <c r="M894" t="s">
        <v>16</v>
      </c>
      <c r="N894">
        <v>3</v>
      </c>
      <c r="O894" t="s">
        <v>10</v>
      </c>
      <c r="P894">
        <v>18</v>
      </c>
      <c r="Q894" s="4">
        <v>45844</v>
      </c>
      <c r="R894" s="4"/>
      <c r="S894" t="str">
        <f>TEXT(Table1[[#This Row],[Hiring Date]],"mmmm")</f>
        <v>July</v>
      </c>
      <c r="T894" s="1">
        <f>COUNTIF(S:S,Table1[[#This Row],[Months List]])</f>
        <v>0</v>
      </c>
      <c r="U894" t="str">
        <f>TEXT(Table1[[#This Row],[Hiring Date]],"dddd")</f>
        <v>Sunday</v>
      </c>
      <c r="V894" s="1" t="str">
        <f>TEXT(Table1[[#This Row],[Hiring Date]],"yyyy")</f>
        <v>2025</v>
      </c>
    </row>
    <row r="895" spans="1:22">
      <c r="A895" t="s">
        <v>55</v>
      </c>
      <c r="B895">
        <v>35</v>
      </c>
      <c r="C895">
        <v>890</v>
      </c>
      <c r="D895" t="s">
        <v>11</v>
      </c>
      <c r="E895" t="s">
        <v>1498</v>
      </c>
      <c r="F895" t="s">
        <v>1499</v>
      </c>
      <c r="G895">
        <v>97</v>
      </c>
      <c r="H895">
        <v>3</v>
      </c>
      <c r="I895">
        <v>1</v>
      </c>
      <c r="J895" t="s">
        <v>1489</v>
      </c>
      <c r="K895" t="s">
        <v>1490</v>
      </c>
      <c r="L895">
        <v>4</v>
      </c>
      <c r="M895" t="s">
        <v>15</v>
      </c>
      <c r="N895">
        <v>1</v>
      </c>
      <c r="O895" t="s">
        <v>13</v>
      </c>
      <c r="P895">
        <v>2</v>
      </c>
      <c r="Q895" s="4">
        <v>45830</v>
      </c>
      <c r="R895" s="4"/>
      <c r="S895" t="str">
        <f>TEXT(Table1[[#This Row],[Hiring Date]],"mmmm")</f>
        <v>June</v>
      </c>
      <c r="T895" s="1">
        <f>COUNTIF(S:S,Table1[[#This Row],[Months List]])</f>
        <v>0</v>
      </c>
      <c r="U895" t="str">
        <f>TEXT(Table1[[#This Row],[Hiring Date]],"dddd")</f>
        <v>Sunday</v>
      </c>
      <c r="V895" s="1" t="str">
        <f>TEXT(Table1[[#This Row],[Hiring Date]],"yyyy")</f>
        <v>2025</v>
      </c>
    </row>
    <row r="896" spans="1:22">
      <c r="A896" t="s">
        <v>487</v>
      </c>
      <c r="B896">
        <v>32</v>
      </c>
      <c r="C896">
        <v>1474</v>
      </c>
      <c r="D896" t="s">
        <v>11</v>
      </c>
      <c r="E896" t="s">
        <v>1500</v>
      </c>
      <c r="F896" t="s">
        <v>1496</v>
      </c>
      <c r="G896">
        <v>60</v>
      </c>
      <c r="H896">
        <v>4</v>
      </c>
      <c r="I896">
        <v>2</v>
      </c>
      <c r="J896" t="s">
        <v>1474</v>
      </c>
      <c r="K896" t="s">
        <v>1475</v>
      </c>
      <c r="L896">
        <v>3</v>
      </c>
      <c r="M896" t="s">
        <v>15</v>
      </c>
      <c r="N896">
        <v>8</v>
      </c>
      <c r="O896" t="s">
        <v>13</v>
      </c>
      <c r="P896">
        <v>6</v>
      </c>
      <c r="Q896" s="4">
        <v>45753</v>
      </c>
      <c r="R896" s="4"/>
      <c r="S896" t="str">
        <f>TEXT(Table1[[#This Row],[Hiring Date]],"mmmm")</f>
        <v>April</v>
      </c>
      <c r="T896" s="1">
        <f>COUNTIF(S:S,Table1[[#This Row],[Months List]])</f>
        <v>0</v>
      </c>
      <c r="U896" t="str">
        <f>TEXT(Table1[[#This Row],[Hiring Date]],"dddd")</f>
        <v>Sunday</v>
      </c>
      <c r="V896" s="1" t="str">
        <f>TEXT(Table1[[#This Row],[Hiring Date]],"yyyy")</f>
        <v>2025</v>
      </c>
    </row>
    <row r="897" spans="1:22">
      <c r="A897" t="s">
        <v>488</v>
      </c>
      <c r="B897">
        <v>24</v>
      </c>
      <c r="C897">
        <v>535</v>
      </c>
      <c r="D897" t="s">
        <v>11</v>
      </c>
      <c r="E897" t="s">
        <v>1495</v>
      </c>
      <c r="F897" t="s">
        <v>1496</v>
      </c>
      <c r="G897">
        <v>38</v>
      </c>
      <c r="H897">
        <v>3</v>
      </c>
      <c r="I897">
        <v>1</v>
      </c>
      <c r="J897" t="s">
        <v>1489</v>
      </c>
      <c r="K897" t="s">
        <v>1490</v>
      </c>
      <c r="L897">
        <v>4</v>
      </c>
      <c r="M897" t="s">
        <v>15</v>
      </c>
      <c r="N897">
        <v>0</v>
      </c>
      <c r="O897" t="s">
        <v>13</v>
      </c>
      <c r="P897">
        <v>3</v>
      </c>
      <c r="Q897" s="4">
        <v>45846</v>
      </c>
      <c r="R897" s="4"/>
      <c r="S897" t="str">
        <f>TEXT(Table1[[#This Row],[Hiring Date]],"mmmm")</f>
        <v>July</v>
      </c>
      <c r="T897" s="1">
        <f>COUNTIF(S:S,Table1[[#This Row],[Months List]])</f>
        <v>0</v>
      </c>
      <c r="U897" t="str">
        <f>TEXT(Table1[[#This Row],[Hiring Date]],"dddd")</f>
        <v>Tuesday</v>
      </c>
      <c r="V897" s="1" t="str">
        <f>TEXT(Table1[[#This Row],[Hiring Date]],"yyyy")</f>
        <v>2025</v>
      </c>
    </row>
    <row r="898" spans="1:22">
      <c r="A898" t="s">
        <v>489</v>
      </c>
      <c r="B898">
        <v>38</v>
      </c>
      <c r="C898">
        <v>1495</v>
      </c>
      <c r="D898" t="s">
        <v>14</v>
      </c>
      <c r="E898" t="s">
        <v>1495</v>
      </c>
      <c r="F898" t="s">
        <v>1499</v>
      </c>
      <c r="G898">
        <v>76</v>
      </c>
      <c r="H898">
        <v>3</v>
      </c>
      <c r="I898">
        <v>2</v>
      </c>
      <c r="J898" t="s">
        <v>1478</v>
      </c>
      <c r="K898" t="s">
        <v>1479</v>
      </c>
      <c r="L898">
        <v>3</v>
      </c>
      <c r="M898" t="s">
        <v>15</v>
      </c>
      <c r="N898">
        <v>3</v>
      </c>
      <c r="O898" t="s">
        <v>13</v>
      </c>
      <c r="P898">
        <v>18</v>
      </c>
      <c r="Q898" s="4">
        <v>45961</v>
      </c>
      <c r="R898" s="4"/>
      <c r="S898" t="str">
        <f>TEXT(Table1[[#This Row],[Hiring Date]],"mmmm")</f>
        <v>October</v>
      </c>
      <c r="T898" s="1">
        <f>COUNTIF(S:S,Table1[[#This Row],[Months List]])</f>
        <v>0</v>
      </c>
      <c r="U898" t="str">
        <f>TEXT(Table1[[#This Row],[Hiring Date]],"dddd")</f>
        <v>Friday</v>
      </c>
      <c r="V898" s="1" t="str">
        <f>TEXT(Table1[[#This Row],[Hiring Date]],"yyyy")</f>
        <v>2025</v>
      </c>
    </row>
    <row r="899" spans="1:22">
      <c r="A899" t="s">
        <v>490</v>
      </c>
      <c r="B899">
        <v>37</v>
      </c>
      <c r="C899">
        <v>446</v>
      </c>
      <c r="D899" t="s">
        <v>14</v>
      </c>
      <c r="E899" t="s">
        <v>1497</v>
      </c>
      <c r="F899" t="s">
        <v>1499</v>
      </c>
      <c r="G899">
        <v>65</v>
      </c>
      <c r="H899">
        <v>3</v>
      </c>
      <c r="I899">
        <v>2</v>
      </c>
      <c r="J899" t="s">
        <v>1480</v>
      </c>
      <c r="K899" t="s">
        <v>1481</v>
      </c>
      <c r="L899">
        <v>2</v>
      </c>
      <c r="M899" t="s">
        <v>15</v>
      </c>
      <c r="N899">
        <v>6</v>
      </c>
      <c r="O899" t="s">
        <v>13</v>
      </c>
      <c r="P899">
        <v>8</v>
      </c>
      <c r="Q899" s="4">
        <v>45841</v>
      </c>
      <c r="R899" s="4"/>
      <c r="S899" t="str">
        <f>TEXT(Table1[[#This Row],[Hiring Date]],"mmmm")</f>
        <v>July</v>
      </c>
      <c r="T899" s="1">
        <f>COUNTIF(S:S,Table1[[#This Row],[Months List]])</f>
        <v>0</v>
      </c>
      <c r="U899" t="str">
        <f>TEXT(Table1[[#This Row],[Hiring Date]],"dddd")</f>
        <v>Thursday</v>
      </c>
      <c r="V899" s="1" t="str">
        <f>TEXT(Table1[[#This Row],[Hiring Date]],"yyyy")</f>
        <v>2025</v>
      </c>
    </row>
    <row r="900" spans="1:22">
      <c r="A900" t="s">
        <v>491</v>
      </c>
      <c r="B900">
        <v>49</v>
      </c>
      <c r="C900">
        <v>1245</v>
      </c>
      <c r="D900" t="s">
        <v>14</v>
      </c>
      <c r="E900" t="s">
        <v>1497</v>
      </c>
      <c r="F900" t="s">
        <v>1496</v>
      </c>
      <c r="G900">
        <v>58</v>
      </c>
      <c r="H900">
        <v>2</v>
      </c>
      <c r="I900">
        <v>5</v>
      </c>
      <c r="J900" t="s">
        <v>1487</v>
      </c>
      <c r="K900" t="s">
        <v>1488</v>
      </c>
      <c r="L900">
        <v>3</v>
      </c>
      <c r="M900" t="s">
        <v>16</v>
      </c>
      <c r="N900">
        <v>1</v>
      </c>
      <c r="O900" t="s">
        <v>10</v>
      </c>
      <c r="P900">
        <v>31</v>
      </c>
      <c r="Q900" s="4">
        <v>45876</v>
      </c>
      <c r="R900" s="4"/>
      <c r="S900" t="str">
        <f>TEXT(Table1[[#This Row],[Hiring Date]],"mmmm")</f>
        <v>August</v>
      </c>
      <c r="T900" s="1">
        <f>COUNTIF(S:S,Table1[[#This Row],[Months List]])</f>
        <v>0</v>
      </c>
      <c r="U900" t="str">
        <f>TEXT(Table1[[#This Row],[Hiring Date]],"dddd")</f>
        <v>Thursday</v>
      </c>
      <c r="V900" s="1" t="str">
        <f>TEXT(Table1[[#This Row],[Hiring Date]],"yyyy")</f>
        <v>2025</v>
      </c>
    </row>
    <row r="901" spans="1:22">
      <c r="A901" t="s">
        <v>492</v>
      </c>
      <c r="B901">
        <v>24</v>
      </c>
      <c r="C901">
        <v>691</v>
      </c>
      <c r="D901" t="s">
        <v>14</v>
      </c>
      <c r="E901" t="s">
        <v>1495</v>
      </c>
      <c r="F901" t="s">
        <v>1496</v>
      </c>
      <c r="G901">
        <v>89</v>
      </c>
      <c r="H901">
        <v>4</v>
      </c>
      <c r="I901">
        <v>1</v>
      </c>
      <c r="J901" t="s">
        <v>1476</v>
      </c>
      <c r="K901" t="s">
        <v>1477</v>
      </c>
      <c r="L901">
        <v>4</v>
      </c>
      <c r="M901" t="s">
        <v>15</v>
      </c>
      <c r="N901">
        <v>1</v>
      </c>
      <c r="O901" t="s">
        <v>10</v>
      </c>
      <c r="P901">
        <v>6</v>
      </c>
      <c r="Q901" s="4">
        <v>45723</v>
      </c>
      <c r="R901" s="4"/>
      <c r="S901" t="str">
        <f>TEXT(Table1[[#This Row],[Hiring Date]],"mmmm")</f>
        <v>March</v>
      </c>
      <c r="T901" s="1">
        <f>COUNTIF(S:S,Table1[[#This Row],[Months List]])</f>
        <v>0</v>
      </c>
      <c r="U901" t="str">
        <f>TEXT(Table1[[#This Row],[Hiring Date]],"dddd")</f>
        <v>Friday</v>
      </c>
      <c r="V901" s="1" t="str">
        <f>TEXT(Table1[[#This Row],[Hiring Date]],"yyyy")</f>
        <v>2025</v>
      </c>
    </row>
    <row r="902" spans="1:22">
      <c r="A902" t="s">
        <v>493</v>
      </c>
      <c r="B902">
        <v>26</v>
      </c>
      <c r="C902">
        <v>703</v>
      </c>
      <c r="D902" t="s">
        <v>11</v>
      </c>
      <c r="E902" t="s">
        <v>1498</v>
      </c>
      <c r="F902" t="s">
        <v>1496</v>
      </c>
      <c r="G902">
        <v>66</v>
      </c>
      <c r="H902">
        <v>3</v>
      </c>
      <c r="I902">
        <v>2</v>
      </c>
      <c r="J902" t="s">
        <v>1474</v>
      </c>
      <c r="K902" t="s">
        <v>1475</v>
      </c>
      <c r="L902">
        <v>2</v>
      </c>
      <c r="M902" t="s">
        <v>15</v>
      </c>
      <c r="N902">
        <v>1</v>
      </c>
      <c r="O902" t="s">
        <v>13</v>
      </c>
      <c r="P902">
        <v>6</v>
      </c>
      <c r="Q902" s="4">
        <v>45875</v>
      </c>
      <c r="R902" s="4"/>
      <c r="S902" t="str">
        <f>TEXT(Table1[[#This Row],[Hiring Date]],"mmmm")</f>
        <v>August</v>
      </c>
      <c r="T902" s="1">
        <f>COUNTIF(S:S,Table1[[#This Row],[Months List]])</f>
        <v>0</v>
      </c>
      <c r="U902" t="str">
        <f>TEXT(Table1[[#This Row],[Hiring Date]],"dddd")</f>
        <v>Wednesday</v>
      </c>
      <c r="V902" s="1" t="str">
        <f>TEXT(Table1[[#This Row],[Hiring Date]],"yyyy")</f>
        <v>2025</v>
      </c>
    </row>
    <row r="903" spans="1:22">
      <c r="A903" t="s">
        <v>494</v>
      </c>
      <c r="B903">
        <v>24</v>
      </c>
      <c r="C903">
        <v>823</v>
      </c>
      <c r="D903" t="s">
        <v>14</v>
      </c>
      <c r="E903" t="s">
        <v>1500</v>
      </c>
      <c r="F903" t="s">
        <v>1496</v>
      </c>
      <c r="G903">
        <v>94</v>
      </c>
      <c r="H903">
        <v>2</v>
      </c>
      <c r="I903">
        <v>1</v>
      </c>
      <c r="J903" t="s">
        <v>1484</v>
      </c>
      <c r="K903" t="s">
        <v>1485</v>
      </c>
      <c r="L903">
        <v>2</v>
      </c>
      <c r="M903" t="s">
        <v>15</v>
      </c>
      <c r="N903">
        <v>1</v>
      </c>
      <c r="O903" t="s">
        <v>13</v>
      </c>
      <c r="P903">
        <v>1</v>
      </c>
      <c r="Q903" s="4">
        <v>45805</v>
      </c>
      <c r="R903" s="4"/>
      <c r="S903" t="str">
        <f>TEXT(Table1[[#This Row],[Hiring Date]],"mmmm")</f>
        <v>May</v>
      </c>
      <c r="T903" s="1">
        <f>COUNTIF(S:S,Table1[[#This Row],[Months List]])</f>
        <v>0</v>
      </c>
      <c r="U903" t="str">
        <f>TEXT(Table1[[#This Row],[Hiring Date]],"dddd")</f>
        <v>Wednesday</v>
      </c>
      <c r="V903" s="1" t="str">
        <f>TEXT(Table1[[#This Row],[Hiring Date]],"yyyy")</f>
        <v>2025</v>
      </c>
    </row>
    <row r="904" spans="1:22">
      <c r="A904" t="s">
        <v>495</v>
      </c>
      <c r="B904">
        <v>50</v>
      </c>
      <c r="C904">
        <v>1246</v>
      </c>
      <c r="D904" t="s">
        <v>17</v>
      </c>
      <c r="E904" t="s">
        <v>1495</v>
      </c>
      <c r="F904" t="s">
        <v>1496</v>
      </c>
      <c r="G904">
        <v>99</v>
      </c>
      <c r="H904">
        <v>3</v>
      </c>
      <c r="I904">
        <v>5</v>
      </c>
      <c r="J904" t="s">
        <v>1482</v>
      </c>
      <c r="K904" t="s">
        <v>1483</v>
      </c>
      <c r="L904">
        <v>2</v>
      </c>
      <c r="M904" t="s">
        <v>15</v>
      </c>
      <c r="N904">
        <v>1</v>
      </c>
      <c r="O904" t="s">
        <v>13</v>
      </c>
      <c r="P904">
        <v>32</v>
      </c>
      <c r="Q904" s="4">
        <v>45907</v>
      </c>
      <c r="R904" s="4"/>
      <c r="S904" t="str">
        <f>TEXT(Table1[[#This Row],[Hiring Date]],"mmmm")</f>
        <v>September</v>
      </c>
      <c r="T904" s="1">
        <f>COUNTIF(S:S,Table1[[#This Row],[Months List]])</f>
        <v>0</v>
      </c>
      <c r="U904" t="str">
        <f>TEXT(Table1[[#This Row],[Hiring Date]],"dddd")</f>
        <v>Sunday</v>
      </c>
      <c r="V904" s="1" t="str">
        <f>TEXT(Table1[[#This Row],[Hiring Date]],"yyyy")</f>
        <v>2025</v>
      </c>
    </row>
    <row r="905" spans="1:22">
      <c r="A905" t="s">
        <v>496</v>
      </c>
      <c r="B905">
        <v>25</v>
      </c>
      <c r="C905">
        <v>622</v>
      </c>
      <c r="D905" t="s">
        <v>11</v>
      </c>
      <c r="E905" t="s">
        <v>1495</v>
      </c>
      <c r="F905" t="s">
        <v>1496</v>
      </c>
      <c r="G905">
        <v>40</v>
      </c>
      <c r="H905">
        <v>3</v>
      </c>
      <c r="I905">
        <v>1</v>
      </c>
      <c r="J905" t="s">
        <v>1489</v>
      </c>
      <c r="K905" t="s">
        <v>1490</v>
      </c>
      <c r="L905">
        <v>3</v>
      </c>
      <c r="M905" t="s">
        <v>15</v>
      </c>
      <c r="N905">
        <v>1</v>
      </c>
      <c r="O905" t="s">
        <v>13</v>
      </c>
      <c r="P905">
        <v>7</v>
      </c>
      <c r="Q905" s="4">
        <v>45996</v>
      </c>
      <c r="R905" s="4"/>
      <c r="S905" t="str">
        <f>TEXT(Table1[[#This Row],[Hiring Date]],"mmmm")</f>
        <v>December</v>
      </c>
      <c r="T905" s="1">
        <f>COUNTIF(S:S,Table1[[#This Row],[Months List]])</f>
        <v>0</v>
      </c>
      <c r="U905" t="str">
        <f>TEXT(Table1[[#This Row],[Hiring Date]],"dddd")</f>
        <v>Friday</v>
      </c>
      <c r="V905" s="1" t="str">
        <f>TEXT(Table1[[#This Row],[Hiring Date]],"yyyy")</f>
        <v>2025</v>
      </c>
    </row>
    <row r="906" spans="1:22">
      <c r="A906" t="s">
        <v>56</v>
      </c>
      <c r="B906">
        <v>36</v>
      </c>
      <c r="C906">
        <v>852</v>
      </c>
      <c r="D906" t="s">
        <v>14</v>
      </c>
      <c r="E906" t="s">
        <v>1497</v>
      </c>
      <c r="F906" t="s">
        <v>1499</v>
      </c>
      <c r="G906">
        <v>82</v>
      </c>
      <c r="H906">
        <v>2</v>
      </c>
      <c r="I906">
        <v>1</v>
      </c>
      <c r="J906" t="s">
        <v>1476</v>
      </c>
      <c r="K906" t="s">
        <v>1477</v>
      </c>
      <c r="L906">
        <v>1</v>
      </c>
      <c r="M906" t="s">
        <v>15</v>
      </c>
      <c r="N906">
        <v>9</v>
      </c>
      <c r="O906" t="s">
        <v>10</v>
      </c>
      <c r="P906">
        <v>6</v>
      </c>
      <c r="Q906" s="4">
        <v>45969</v>
      </c>
      <c r="R906" s="4"/>
      <c r="S906" t="str">
        <f>TEXT(Table1[[#This Row],[Hiring Date]],"mmmm")</f>
        <v>November</v>
      </c>
      <c r="T906" s="1">
        <f>COUNTIF(S:S,Table1[[#This Row],[Months List]])</f>
        <v>0</v>
      </c>
      <c r="U906" t="str">
        <f>TEXT(Table1[[#This Row],[Hiring Date]],"dddd")</f>
        <v>Saturday</v>
      </c>
      <c r="V906" s="1" t="str">
        <f>TEXT(Table1[[#This Row],[Hiring Date]],"yyyy")</f>
        <v>2025</v>
      </c>
    </row>
    <row r="907" spans="1:22">
      <c r="A907" t="s">
        <v>497</v>
      </c>
      <c r="B907">
        <v>24</v>
      </c>
      <c r="C907">
        <v>1287</v>
      </c>
      <c r="D907" t="s">
        <v>14</v>
      </c>
      <c r="E907" t="s">
        <v>1497</v>
      </c>
      <c r="F907" t="s">
        <v>1499</v>
      </c>
      <c r="G907">
        <v>55</v>
      </c>
      <c r="H907">
        <v>3</v>
      </c>
      <c r="I907">
        <v>1</v>
      </c>
      <c r="J907" t="s">
        <v>1484</v>
      </c>
      <c r="K907" t="s">
        <v>1485</v>
      </c>
      <c r="L907">
        <v>3</v>
      </c>
      <c r="M907" t="s">
        <v>15</v>
      </c>
      <c r="N907">
        <v>1</v>
      </c>
      <c r="O907" t="s">
        <v>10</v>
      </c>
      <c r="P907">
        <v>6</v>
      </c>
      <c r="Q907" s="4">
        <v>45955</v>
      </c>
      <c r="R907" s="4"/>
      <c r="S907" t="str">
        <f>TEXT(Table1[[#This Row],[Hiring Date]],"mmmm")</f>
        <v>October</v>
      </c>
      <c r="T907" s="1">
        <f>COUNTIF(S:S,Table1[[#This Row],[Months List]])</f>
        <v>0</v>
      </c>
      <c r="U907" t="str">
        <f>TEXT(Table1[[#This Row],[Hiring Date]],"dddd")</f>
        <v>Saturday</v>
      </c>
      <c r="V907" s="1" t="str">
        <f>TEXT(Table1[[#This Row],[Hiring Date]],"yyyy")</f>
        <v>2025</v>
      </c>
    </row>
    <row r="908" spans="1:22">
      <c r="A908" t="s">
        <v>498</v>
      </c>
      <c r="B908">
        <v>30</v>
      </c>
      <c r="C908">
        <v>448</v>
      </c>
      <c r="D908" t="s">
        <v>11</v>
      </c>
      <c r="E908" t="s">
        <v>1497</v>
      </c>
      <c r="F908" t="s">
        <v>1496</v>
      </c>
      <c r="G908">
        <v>74</v>
      </c>
      <c r="H908">
        <v>2</v>
      </c>
      <c r="I908">
        <v>1</v>
      </c>
      <c r="J908" t="s">
        <v>1489</v>
      </c>
      <c r="K908" t="s">
        <v>1490</v>
      </c>
      <c r="L908">
        <v>1</v>
      </c>
      <c r="M908" t="s">
        <v>15</v>
      </c>
      <c r="N908">
        <v>1</v>
      </c>
      <c r="O908" t="s">
        <v>13</v>
      </c>
      <c r="P908">
        <v>1</v>
      </c>
      <c r="Q908" s="4">
        <v>45758</v>
      </c>
      <c r="R908" s="4"/>
      <c r="S908" t="str">
        <f>TEXT(Table1[[#This Row],[Hiring Date]],"mmmm")</f>
        <v>April</v>
      </c>
      <c r="T908" s="1">
        <f>COUNTIF(S:S,Table1[[#This Row],[Months List]])</f>
        <v>0</v>
      </c>
      <c r="U908" t="str">
        <f>TEXT(Table1[[#This Row],[Hiring Date]],"dddd")</f>
        <v>Friday</v>
      </c>
      <c r="V908" s="1" t="str">
        <f>TEXT(Table1[[#This Row],[Hiring Date]],"yyyy")</f>
        <v>2025</v>
      </c>
    </row>
    <row r="909" spans="1:22">
      <c r="A909" t="s">
        <v>499</v>
      </c>
      <c r="B909">
        <v>34</v>
      </c>
      <c r="C909">
        <v>254</v>
      </c>
      <c r="D909" t="s">
        <v>14</v>
      </c>
      <c r="E909" t="s">
        <v>1497</v>
      </c>
      <c r="F909" t="s">
        <v>1496</v>
      </c>
      <c r="G909">
        <v>83</v>
      </c>
      <c r="H909">
        <v>2</v>
      </c>
      <c r="I909">
        <v>1</v>
      </c>
      <c r="J909" t="s">
        <v>1476</v>
      </c>
      <c r="K909" t="s">
        <v>1477</v>
      </c>
      <c r="L909">
        <v>4</v>
      </c>
      <c r="M909" t="s">
        <v>15</v>
      </c>
      <c r="N909">
        <v>1</v>
      </c>
      <c r="O909" t="s">
        <v>10</v>
      </c>
      <c r="P909">
        <v>6</v>
      </c>
      <c r="Q909" s="4">
        <v>45918</v>
      </c>
      <c r="R909" s="4"/>
      <c r="S909" t="str">
        <f>TEXT(Table1[[#This Row],[Hiring Date]],"mmmm")</f>
        <v>September</v>
      </c>
      <c r="T909" s="1">
        <f>COUNTIF(S:S,Table1[[#This Row],[Months List]])</f>
        <v>0</v>
      </c>
      <c r="U909" t="str">
        <f>TEXT(Table1[[#This Row],[Hiring Date]],"dddd")</f>
        <v>Thursday</v>
      </c>
      <c r="V909" s="1" t="str">
        <f>TEXT(Table1[[#This Row],[Hiring Date]],"yyyy")</f>
        <v>2025</v>
      </c>
    </row>
    <row r="910" spans="1:22">
      <c r="A910" t="s">
        <v>500</v>
      </c>
      <c r="B910">
        <v>31</v>
      </c>
      <c r="C910">
        <v>1365</v>
      </c>
      <c r="D910" t="s">
        <v>11</v>
      </c>
      <c r="E910" t="s">
        <v>1495</v>
      </c>
      <c r="F910" t="s">
        <v>1496</v>
      </c>
      <c r="G910">
        <v>46</v>
      </c>
      <c r="H910">
        <v>3</v>
      </c>
      <c r="I910">
        <v>2</v>
      </c>
      <c r="J910" t="s">
        <v>1474</v>
      </c>
      <c r="K910" t="s">
        <v>1475</v>
      </c>
      <c r="L910">
        <v>1</v>
      </c>
      <c r="M910" t="s">
        <v>16</v>
      </c>
      <c r="N910">
        <v>2</v>
      </c>
      <c r="O910" t="s">
        <v>13</v>
      </c>
      <c r="P910">
        <v>9</v>
      </c>
      <c r="Q910" s="4">
        <v>45991</v>
      </c>
      <c r="R910" s="4"/>
      <c r="S910" t="str">
        <f>TEXT(Table1[[#This Row],[Hiring Date]],"mmmm")</f>
        <v>November</v>
      </c>
      <c r="T910" s="1">
        <f>COUNTIF(S:S,Table1[[#This Row],[Months List]])</f>
        <v>0</v>
      </c>
      <c r="U910" t="str">
        <f>TEXT(Table1[[#This Row],[Hiring Date]],"dddd")</f>
        <v>Sunday</v>
      </c>
      <c r="V910" s="1" t="str">
        <f>TEXT(Table1[[#This Row],[Hiring Date]],"yyyy")</f>
        <v>2025</v>
      </c>
    </row>
    <row r="911" spans="1:22">
      <c r="A911" t="s">
        <v>501</v>
      </c>
      <c r="B911">
        <v>35</v>
      </c>
      <c r="C911">
        <v>538</v>
      </c>
      <c r="D911" t="s">
        <v>14</v>
      </c>
      <c r="E911" t="s">
        <v>1500</v>
      </c>
      <c r="F911" t="s">
        <v>1496</v>
      </c>
      <c r="G911">
        <v>54</v>
      </c>
      <c r="H911">
        <v>2</v>
      </c>
      <c r="I911">
        <v>2</v>
      </c>
      <c r="J911" t="s">
        <v>1484</v>
      </c>
      <c r="K911" t="s">
        <v>1485</v>
      </c>
      <c r="L911">
        <v>4</v>
      </c>
      <c r="M911" t="s">
        <v>12</v>
      </c>
      <c r="N911">
        <v>4</v>
      </c>
      <c r="O911" t="s">
        <v>13</v>
      </c>
      <c r="P911">
        <v>9</v>
      </c>
      <c r="Q911" s="4">
        <v>45920</v>
      </c>
      <c r="R911" s="4"/>
      <c r="S911" t="str">
        <f>TEXT(Table1[[#This Row],[Hiring Date]],"mmmm")</f>
        <v>September</v>
      </c>
      <c r="T911" s="1">
        <f>COUNTIF(S:S,Table1[[#This Row],[Months List]])</f>
        <v>0</v>
      </c>
      <c r="U911" t="str">
        <f>TEXT(Table1[[#This Row],[Hiring Date]],"dddd")</f>
        <v>Saturday</v>
      </c>
      <c r="V911" s="1" t="str">
        <f>TEXT(Table1[[#This Row],[Hiring Date]],"yyyy")</f>
        <v>2025</v>
      </c>
    </row>
    <row r="912" spans="1:22">
      <c r="A912" t="s">
        <v>502</v>
      </c>
      <c r="B912">
        <v>31</v>
      </c>
      <c r="C912">
        <v>525</v>
      </c>
      <c r="D912" t="s">
        <v>11</v>
      </c>
      <c r="E912" t="s">
        <v>1495</v>
      </c>
      <c r="F912" t="s">
        <v>1496</v>
      </c>
      <c r="G912">
        <v>66</v>
      </c>
      <c r="H912">
        <v>4</v>
      </c>
      <c r="I912">
        <v>2</v>
      </c>
      <c r="J912" t="s">
        <v>1474</v>
      </c>
      <c r="K912" t="s">
        <v>1475</v>
      </c>
      <c r="L912">
        <v>4</v>
      </c>
      <c r="M912" t="s">
        <v>16</v>
      </c>
      <c r="N912">
        <v>4</v>
      </c>
      <c r="O912" t="s">
        <v>13</v>
      </c>
      <c r="P912">
        <v>13</v>
      </c>
      <c r="Q912" s="4">
        <v>45676</v>
      </c>
      <c r="R912" s="4"/>
      <c r="S912" t="str">
        <f>TEXT(Table1[[#This Row],[Hiring Date]],"mmmm")</f>
        <v>January</v>
      </c>
      <c r="T912" s="1">
        <f>COUNTIF(S:S,Table1[[#This Row],[Months List]])</f>
        <v>0</v>
      </c>
      <c r="U912" t="str">
        <f>TEXT(Table1[[#This Row],[Hiring Date]],"dddd")</f>
        <v>Sunday</v>
      </c>
      <c r="V912" s="1" t="str">
        <f>TEXT(Table1[[#This Row],[Hiring Date]],"yyyy")</f>
        <v>2025</v>
      </c>
    </row>
    <row r="913" spans="1:22">
      <c r="A913" t="s">
        <v>503</v>
      </c>
      <c r="B913">
        <v>27</v>
      </c>
      <c r="C913">
        <v>798</v>
      </c>
      <c r="D913" t="s">
        <v>14</v>
      </c>
      <c r="E913" t="s">
        <v>1495</v>
      </c>
      <c r="F913" t="s">
        <v>1499</v>
      </c>
      <c r="G913">
        <v>66</v>
      </c>
      <c r="H913">
        <v>2</v>
      </c>
      <c r="I913">
        <v>1</v>
      </c>
      <c r="J913" t="s">
        <v>1476</v>
      </c>
      <c r="K913" t="s">
        <v>1477</v>
      </c>
      <c r="L913">
        <v>3</v>
      </c>
      <c r="M913" t="s">
        <v>16</v>
      </c>
      <c r="N913">
        <v>0</v>
      </c>
      <c r="O913" t="s">
        <v>13</v>
      </c>
      <c r="P913">
        <v>6</v>
      </c>
      <c r="Q913" s="4">
        <v>45960</v>
      </c>
      <c r="R913" s="4"/>
      <c r="S913" t="str">
        <f>TEXT(Table1[[#This Row],[Hiring Date]],"mmmm")</f>
        <v>October</v>
      </c>
      <c r="T913" s="1">
        <f>COUNTIF(S:S,Table1[[#This Row],[Months List]])</f>
        <v>0</v>
      </c>
      <c r="U913" t="str">
        <f>TEXT(Table1[[#This Row],[Hiring Date]],"dddd")</f>
        <v>Thursday</v>
      </c>
      <c r="V913" s="1" t="str">
        <f>TEXT(Table1[[#This Row],[Hiring Date]],"yyyy")</f>
        <v>2025</v>
      </c>
    </row>
    <row r="914" spans="1:22">
      <c r="A914" t="s">
        <v>504</v>
      </c>
      <c r="B914">
        <v>37</v>
      </c>
      <c r="C914">
        <v>558</v>
      </c>
      <c r="D914" t="s">
        <v>11</v>
      </c>
      <c r="E914" t="s">
        <v>1498</v>
      </c>
      <c r="F914" t="s">
        <v>1496</v>
      </c>
      <c r="G914">
        <v>75</v>
      </c>
      <c r="H914">
        <v>3</v>
      </c>
      <c r="I914">
        <v>2</v>
      </c>
      <c r="J914" t="s">
        <v>1474</v>
      </c>
      <c r="K914" t="s">
        <v>1475</v>
      </c>
      <c r="L914">
        <v>3</v>
      </c>
      <c r="M914" t="s">
        <v>15</v>
      </c>
      <c r="N914">
        <v>4</v>
      </c>
      <c r="O914" t="s">
        <v>10</v>
      </c>
      <c r="P914">
        <v>17</v>
      </c>
      <c r="Q914" s="4">
        <v>45661</v>
      </c>
      <c r="R914" s="4"/>
      <c r="S914" t="str">
        <f>TEXT(Table1[[#This Row],[Hiring Date]],"mmmm")</f>
        <v>January</v>
      </c>
      <c r="T914" s="1">
        <f>COUNTIF(S:S,Table1[[#This Row],[Months List]])</f>
        <v>0</v>
      </c>
      <c r="U914" t="str">
        <f>TEXT(Table1[[#This Row],[Hiring Date]],"dddd")</f>
        <v>Saturday</v>
      </c>
      <c r="V914" s="1" t="str">
        <f>TEXT(Table1[[#This Row],[Hiring Date]],"yyyy")</f>
        <v>2025</v>
      </c>
    </row>
    <row r="915" spans="1:22">
      <c r="A915" t="s">
        <v>505</v>
      </c>
      <c r="B915">
        <v>20</v>
      </c>
      <c r="C915">
        <v>959</v>
      </c>
      <c r="D915" t="s">
        <v>14</v>
      </c>
      <c r="E915" t="s">
        <v>1497</v>
      </c>
      <c r="F915" t="s">
        <v>1499</v>
      </c>
      <c r="G915">
        <v>83</v>
      </c>
      <c r="H915">
        <v>2</v>
      </c>
      <c r="I915">
        <v>1</v>
      </c>
      <c r="J915" t="s">
        <v>1476</v>
      </c>
      <c r="K915" t="s">
        <v>1477</v>
      </c>
      <c r="L915">
        <v>2</v>
      </c>
      <c r="M915" t="s">
        <v>12</v>
      </c>
      <c r="N915">
        <v>1</v>
      </c>
      <c r="O915" t="s">
        <v>13</v>
      </c>
      <c r="P915">
        <v>1</v>
      </c>
      <c r="Q915" s="4">
        <v>45921</v>
      </c>
      <c r="R915" s="4"/>
      <c r="S915" t="str">
        <f>TEXT(Table1[[#This Row],[Hiring Date]],"mmmm")</f>
        <v>September</v>
      </c>
      <c r="T915" s="1">
        <f>COUNTIF(S:S,Table1[[#This Row],[Months List]])</f>
        <v>0</v>
      </c>
      <c r="U915" t="str">
        <f>TEXT(Table1[[#This Row],[Hiring Date]],"dddd")</f>
        <v>Sunday</v>
      </c>
      <c r="V915" s="1" t="str">
        <f>TEXT(Table1[[#This Row],[Hiring Date]],"yyyy")</f>
        <v>2025</v>
      </c>
    </row>
    <row r="916" spans="1:22">
      <c r="A916" t="s">
        <v>506</v>
      </c>
      <c r="B916">
        <v>42</v>
      </c>
      <c r="C916">
        <v>622</v>
      </c>
      <c r="D916" t="s">
        <v>14</v>
      </c>
      <c r="E916" t="s">
        <v>1497</v>
      </c>
      <c r="F916" t="s">
        <v>1499</v>
      </c>
      <c r="G916">
        <v>81</v>
      </c>
      <c r="H916">
        <v>3</v>
      </c>
      <c r="I916">
        <v>2</v>
      </c>
      <c r="J916" t="s">
        <v>1478</v>
      </c>
      <c r="K916" t="s">
        <v>1479</v>
      </c>
      <c r="L916">
        <v>4</v>
      </c>
      <c r="M916" t="s">
        <v>15</v>
      </c>
      <c r="N916">
        <v>1</v>
      </c>
      <c r="O916" t="s">
        <v>13</v>
      </c>
      <c r="P916">
        <v>10</v>
      </c>
      <c r="Q916" s="4">
        <v>45899</v>
      </c>
      <c r="R916" s="4"/>
      <c r="S916" t="str">
        <f>TEXT(Table1[[#This Row],[Hiring Date]],"mmmm")</f>
        <v>August</v>
      </c>
      <c r="T916" s="1">
        <f>COUNTIF(S:S,Table1[[#This Row],[Months List]])</f>
        <v>0</v>
      </c>
      <c r="U916" t="str">
        <f>TEXT(Table1[[#This Row],[Hiring Date]],"dddd")</f>
        <v>Saturday</v>
      </c>
      <c r="V916" s="1" t="str">
        <f>TEXT(Table1[[#This Row],[Hiring Date]],"yyyy")</f>
        <v>2025</v>
      </c>
    </row>
    <row r="917" spans="1:22">
      <c r="A917" t="s">
        <v>57</v>
      </c>
      <c r="B917">
        <v>33</v>
      </c>
      <c r="C917">
        <v>1141</v>
      </c>
      <c r="D917" t="s">
        <v>11</v>
      </c>
      <c r="E917" t="s">
        <v>1497</v>
      </c>
      <c r="F917" t="s">
        <v>1499</v>
      </c>
      <c r="G917">
        <v>42</v>
      </c>
      <c r="H917">
        <v>4</v>
      </c>
      <c r="I917">
        <v>2</v>
      </c>
      <c r="J917" t="s">
        <v>1474</v>
      </c>
      <c r="K917" t="s">
        <v>1475</v>
      </c>
      <c r="L917">
        <v>1</v>
      </c>
      <c r="M917" t="s">
        <v>15</v>
      </c>
      <c r="N917">
        <v>2</v>
      </c>
      <c r="O917" t="s">
        <v>13</v>
      </c>
      <c r="P917">
        <v>10</v>
      </c>
      <c r="Q917" s="4">
        <v>45955</v>
      </c>
      <c r="R917" s="4"/>
      <c r="S917" t="str">
        <f>TEXT(Table1[[#This Row],[Hiring Date]],"mmmm")</f>
        <v>October</v>
      </c>
      <c r="T917" s="1">
        <f>COUNTIF(S:S,Table1[[#This Row],[Months List]])</f>
        <v>0</v>
      </c>
      <c r="U917" t="str">
        <f>TEXT(Table1[[#This Row],[Hiring Date]],"dddd")</f>
        <v>Saturday</v>
      </c>
      <c r="V917" s="1" t="str">
        <f>TEXT(Table1[[#This Row],[Hiring Date]],"yyyy")</f>
        <v>2025</v>
      </c>
    </row>
    <row r="918" spans="1:22">
      <c r="A918" t="s">
        <v>507</v>
      </c>
      <c r="B918">
        <v>43</v>
      </c>
      <c r="C918">
        <v>782</v>
      </c>
      <c r="D918" t="s">
        <v>14</v>
      </c>
      <c r="E918" t="s">
        <v>1500</v>
      </c>
      <c r="F918" t="s">
        <v>1496</v>
      </c>
      <c r="G918">
        <v>50</v>
      </c>
      <c r="H918">
        <v>2</v>
      </c>
      <c r="I918">
        <v>4</v>
      </c>
      <c r="J918" t="s">
        <v>1487</v>
      </c>
      <c r="K918" t="s">
        <v>1488</v>
      </c>
      <c r="L918">
        <v>4</v>
      </c>
      <c r="M918" t="s">
        <v>16</v>
      </c>
      <c r="N918">
        <v>4</v>
      </c>
      <c r="O918" t="s">
        <v>10</v>
      </c>
      <c r="P918">
        <v>21</v>
      </c>
      <c r="Q918" s="4">
        <v>45995</v>
      </c>
      <c r="R918" s="4"/>
      <c r="S918" t="str">
        <f>TEXT(Table1[[#This Row],[Hiring Date]],"mmmm")</f>
        <v>December</v>
      </c>
      <c r="T918" s="1">
        <f>COUNTIF(S:S,Table1[[#This Row],[Months List]])</f>
        <v>0</v>
      </c>
      <c r="U918" t="str">
        <f>TEXT(Table1[[#This Row],[Hiring Date]],"dddd")</f>
        <v>Thursday</v>
      </c>
      <c r="V918" s="1" t="str">
        <f>TEXT(Table1[[#This Row],[Hiring Date]],"yyyy")</f>
        <v>2025</v>
      </c>
    </row>
    <row r="919" spans="1:22">
      <c r="A919" t="s">
        <v>508</v>
      </c>
      <c r="B919">
        <v>38</v>
      </c>
      <c r="C919">
        <v>362</v>
      </c>
      <c r="D919" t="s">
        <v>14</v>
      </c>
      <c r="E919" t="s">
        <v>1497</v>
      </c>
      <c r="F919" t="s">
        <v>1499</v>
      </c>
      <c r="G919">
        <v>43</v>
      </c>
      <c r="H919">
        <v>3</v>
      </c>
      <c r="I919">
        <v>1</v>
      </c>
      <c r="J919" t="s">
        <v>1476</v>
      </c>
      <c r="K919" t="s">
        <v>1477</v>
      </c>
      <c r="L919">
        <v>1</v>
      </c>
      <c r="M919" t="s">
        <v>12</v>
      </c>
      <c r="N919">
        <v>3</v>
      </c>
      <c r="O919" t="s">
        <v>13</v>
      </c>
      <c r="P919">
        <v>8</v>
      </c>
      <c r="Q919" s="4">
        <v>45785</v>
      </c>
      <c r="R919" s="4"/>
      <c r="S919" t="str">
        <f>TEXT(Table1[[#This Row],[Hiring Date]],"mmmm")</f>
        <v>May</v>
      </c>
      <c r="T919" s="1">
        <f>COUNTIF(S:S,Table1[[#This Row],[Months List]])</f>
        <v>0</v>
      </c>
      <c r="U919" t="str">
        <f>TEXT(Table1[[#This Row],[Hiring Date]],"dddd")</f>
        <v>Thursday</v>
      </c>
      <c r="V919" s="1" t="str">
        <f>TEXT(Table1[[#This Row],[Hiring Date]],"yyyy")</f>
        <v>2025</v>
      </c>
    </row>
    <row r="920" spans="1:22">
      <c r="A920" t="s">
        <v>509</v>
      </c>
      <c r="B920">
        <v>43</v>
      </c>
      <c r="C920">
        <v>1001</v>
      </c>
      <c r="D920" t="s">
        <v>14</v>
      </c>
      <c r="E920" t="s">
        <v>1495</v>
      </c>
      <c r="F920" t="s">
        <v>1496</v>
      </c>
      <c r="G920">
        <v>72</v>
      </c>
      <c r="H920">
        <v>3</v>
      </c>
      <c r="I920">
        <v>2</v>
      </c>
      <c r="J920" t="s">
        <v>1484</v>
      </c>
      <c r="K920" t="s">
        <v>1485</v>
      </c>
      <c r="L920">
        <v>3</v>
      </c>
      <c r="M920" t="s">
        <v>16</v>
      </c>
      <c r="N920">
        <v>3</v>
      </c>
      <c r="O920" t="s">
        <v>10</v>
      </c>
      <c r="P920">
        <v>10</v>
      </c>
      <c r="Q920" s="4">
        <v>45704</v>
      </c>
      <c r="R920" s="4"/>
      <c r="S920" t="str">
        <f>TEXT(Table1[[#This Row],[Hiring Date]],"mmmm")</f>
        <v>February</v>
      </c>
      <c r="T920" s="1">
        <f>COUNTIF(S:S,Table1[[#This Row],[Months List]])</f>
        <v>0</v>
      </c>
      <c r="U920" t="str">
        <f>TEXT(Table1[[#This Row],[Hiring Date]],"dddd")</f>
        <v>Sunday</v>
      </c>
      <c r="V920" s="1" t="str">
        <f>TEXT(Table1[[#This Row],[Hiring Date]],"yyyy")</f>
        <v>2025</v>
      </c>
    </row>
    <row r="921" spans="1:22">
      <c r="A921" t="s">
        <v>510</v>
      </c>
      <c r="B921">
        <v>48</v>
      </c>
      <c r="C921">
        <v>1236</v>
      </c>
      <c r="D921" t="s">
        <v>14</v>
      </c>
      <c r="E921" t="s">
        <v>1497</v>
      </c>
      <c r="F921" t="s">
        <v>1499</v>
      </c>
      <c r="G921">
        <v>40</v>
      </c>
      <c r="H921">
        <v>2</v>
      </c>
      <c r="I921">
        <v>4</v>
      </c>
      <c r="J921" t="s">
        <v>1482</v>
      </c>
      <c r="K921" t="s">
        <v>1483</v>
      </c>
      <c r="L921">
        <v>1</v>
      </c>
      <c r="M921" t="s">
        <v>15</v>
      </c>
      <c r="N921">
        <v>7</v>
      </c>
      <c r="O921" t="s">
        <v>13</v>
      </c>
      <c r="P921">
        <v>21</v>
      </c>
      <c r="Q921" s="4">
        <v>45773</v>
      </c>
      <c r="R921" s="4"/>
      <c r="S921" t="str">
        <f>TEXT(Table1[[#This Row],[Hiring Date]],"mmmm")</f>
        <v>April</v>
      </c>
      <c r="T921" s="1">
        <f>COUNTIF(S:S,Table1[[#This Row],[Months List]])</f>
        <v>0</v>
      </c>
      <c r="U921" t="str">
        <f>TEXT(Table1[[#This Row],[Hiring Date]],"dddd")</f>
        <v>Saturday</v>
      </c>
      <c r="V921" s="1" t="str">
        <f>TEXT(Table1[[#This Row],[Hiring Date]],"yyyy")</f>
        <v>2025</v>
      </c>
    </row>
    <row r="922" spans="1:22">
      <c r="A922" t="s">
        <v>511</v>
      </c>
      <c r="B922">
        <v>44</v>
      </c>
      <c r="C922">
        <v>1112</v>
      </c>
      <c r="D922" t="s">
        <v>17</v>
      </c>
      <c r="E922" t="s">
        <v>1497</v>
      </c>
      <c r="F922" t="s">
        <v>1499</v>
      </c>
      <c r="G922">
        <v>50</v>
      </c>
      <c r="H922">
        <v>2</v>
      </c>
      <c r="I922">
        <v>2</v>
      </c>
      <c r="J922" t="s">
        <v>1486</v>
      </c>
      <c r="K922" t="s">
        <v>17</v>
      </c>
      <c r="L922">
        <v>3</v>
      </c>
      <c r="M922" t="s">
        <v>12</v>
      </c>
      <c r="N922">
        <v>4</v>
      </c>
      <c r="O922" t="s">
        <v>13</v>
      </c>
      <c r="P922">
        <v>10</v>
      </c>
      <c r="Q922" s="4">
        <v>45658</v>
      </c>
      <c r="R922" s="4"/>
      <c r="S922" t="str">
        <f>TEXT(Table1[[#This Row],[Hiring Date]],"mmmm")</f>
        <v>January</v>
      </c>
      <c r="T922" s="1">
        <f>COUNTIF(S:S,Table1[[#This Row],[Months List]])</f>
        <v>0</v>
      </c>
      <c r="U922" t="str">
        <f>TEXT(Table1[[#This Row],[Hiring Date]],"dddd")</f>
        <v>Wednesday</v>
      </c>
      <c r="V922" s="1" t="str">
        <f>TEXT(Table1[[#This Row],[Hiring Date]],"yyyy")</f>
        <v>2025</v>
      </c>
    </row>
    <row r="923" spans="1:22">
      <c r="A923" t="s">
        <v>512</v>
      </c>
      <c r="B923">
        <v>34</v>
      </c>
      <c r="C923">
        <v>204</v>
      </c>
      <c r="D923" t="s">
        <v>11</v>
      </c>
      <c r="E923" t="s">
        <v>1501</v>
      </c>
      <c r="F923" t="s">
        <v>1499</v>
      </c>
      <c r="G923">
        <v>31</v>
      </c>
      <c r="H923">
        <v>3</v>
      </c>
      <c r="I923">
        <v>1</v>
      </c>
      <c r="J923" t="s">
        <v>1489</v>
      </c>
      <c r="K923" t="s">
        <v>1490</v>
      </c>
      <c r="L923">
        <v>3</v>
      </c>
      <c r="M923" t="s">
        <v>16</v>
      </c>
      <c r="N923">
        <v>1</v>
      </c>
      <c r="O923" t="s">
        <v>10</v>
      </c>
      <c r="P923">
        <v>8</v>
      </c>
      <c r="Q923" s="4">
        <v>45942</v>
      </c>
      <c r="R923" s="4"/>
      <c r="S923" t="str">
        <f>TEXT(Table1[[#This Row],[Hiring Date]],"mmmm")</f>
        <v>October</v>
      </c>
      <c r="T923" s="1">
        <f>COUNTIF(S:S,Table1[[#This Row],[Months List]])</f>
        <v>0</v>
      </c>
      <c r="U923" t="str">
        <f>TEXT(Table1[[#This Row],[Hiring Date]],"dddd")</f>
        <v>Sunday</v>
      </c>
      <c r="V923" s="1" t="str">
        <f>TEXT(Table1[[#This Row],[Hiring Date]],"yyyy")</f>
        <v>2025</v>
      </c>
    </row>
    <row r="924" spans="1:22">
      <c r="A924" t="s">
        <v>513</v>
      </c>
      <c r="B924">
        <v>27</v>
      </c>
      <c r="C924">
        <v>1420</v>
      </c>
      <c r="D924" t="s">
        <v>11</v>
      </c>
      <c r="E924" t="s">
        <v>1498</v>
      </c>
      <c r="F924" t="s">
        <v>1496</v>
      </c>
      <c r="G924">
        <v>85</v>
      </c>
      <c r="H924">
        <v>3</v>
      </c>
      <c r="I924">
        <v>1</v>
      </c>
      <c r="J924" t="s">
        <v>1489</v>
      </c>
      <c r="K924" t="s">
        <v>1490</v>
      </c>
      <c r="L924">
        <v>1</v>
      </c>
      <c r="M924" t="s">
        <v>16</v>
      </c>
      <c r="N924">
        <v>0</v>
      </c>
      <c r="O924" t="s">
        <v>13</v>
      </c>
      <c r="P924">
        <v>5</v>
      </c>
      <c r="Q924" s="4">
        <v>45761</v>
      </c>
      <c r="R924" s="4"/>
      <c r="S924" t="str">
        <f>TEXT(Table1[[#This Row],[Hiring Date]],"mmmm")</f>
        <v>April</v>
      </c>
      <c r="T924" s="1">
        <f>COUNTIF(S:S,Table1[[#This Row],[Months List]])</f>
        <v>0</v>
      </c>
      <c r="U924" t="str">
        <f>TEXT(Table1[[#This Row],[Hiring Date]],"dddd")</f>
        <v>Monday</v>
      </c>
      <c r="V924" s="1" t="str">
        <f>TEXT(Table1[[#This Row],[Hiring Date]],"yyyy")</f>
        <v>2025</v>
      </c>
    </row>
    <row r="925" spans="1:22">
      <c r="A925" t="s">
        <v>514</v>
      </c>
      <c r="B925">
        <v>21</v>
      </c>
      <c r="C925">
        <v>1343</v>
      </c>
      <c r="D925" t="s">
        <v>11</v>
      </c>
      <c r="E925" t="s">
        <v>1501</v>
      </c>
      <c r="F925" t="s">
        <v>1496</v>
      </c>
      <c r="G925">
        <v>49</v>
      </c>
      <c r="H925">
        <v>3</v>
      </c>
      <c r="I925">
        <v>1</v>
      </c>
      <c r="J925" t="s">
        <v>1489</v>
      </c>
      <c r="K925" t="s">
        <v>1490</v>
      </c>
      <c r="L925">
        <v>3</v>
      </c>
      <c r="M925" t="s">
        <v>12</v>
      </c>
      <c r="N925">
        <v>1</v>
      </c>
      <c r="O925" t="s">
        <v>13</v>
      </c>
      <c r="P925">
        <v>3</v>
      </c>
      <c r="Q925" s="4">
        <v>45637</v>
      </c>
      <c r="R925" s="4"/>
      <c r="S925" t="str">
        <f>TEXT(Table1[[#This Row],[Hiring Date]],"mmmm")</f>
        <v>December</v>
      </c>
      <c r="T925" s="1">
        <f>COUNTIF(S:S,Table1[[#This Row],[Months List]])</f>
        <v>0</v>
      </c>
      <c r="U925" t="str">
        <f>TEXT(Table1[[#This Row],[Hiring Date]],"dddd")</f>
        <v>Wednesday</v>
      </c>
      <c r="V925" s="1" t="str">
        <f>TEXT(Table1[[#This Row],[Hiring Date]],"yyyy")</f>
        <v>2024</v>
      </c>
    </row>
    <row r="926" spans="1:22">
      <c r="A926" t="s">
        <v>515</v>
      </c>
      <c r="B926">
        <v>44</v>
      </c>
      <c r="C926">
        <v>1315</v>
      </c>
      <c r="D926" t="s">
        <v>14</v>
      </c>
      <c r="E926" t="s">
        <v>1500</v>
      </c>
      <c r="F926" t="s">
        <v>1496</v>
      </c>
      <c r="G926">
        <v>35</v>
      </c>
      <c r="H926">
        <v>3</v>
      </c>
      <c r="I926">
        <v>5</v>
      </c>
      <c r="J926" t="s">
        <v>1482</v>
      </c>
      <c r="K926" t="s">
        <v>1483</v>
      </c>
      <c r="L926">
        <v>4</v>
      </c>
      <c r="M926" t="s">
        <v>15</v>
      </c>
      <c r="N926">
        <v>4</v>
      </c>
      <c r="O926" t="s">
        <v>10</v>
      </c>
      <c r="P926">
        <v>26</v>
      </c>
      <c r="Q926" s="4">
        <v>45981</v>
      </c>
      <c r="R926" s="4"/>
      <c r="S926" t="str">
        <f>TEXT(Table1[[#This Row],[Hiring Date]],"mmmm")</f>
        <v>November</v>
      </c>
      <c r="T926" s="1">
        <f>COUNTIF(S:S,Table1[[#This Row],[Months List]])</f>
        <v>0</v>
      </c>
      <c r="U926" t="str">
        <f>TEXT(Table1[[#This Row],[Hiring Date]],"dddd")</f>
        <v>Thursday</v>
      </c>
      <c r="V926" s="1" t="str">
        <f>TEXT(Table1[[#This Row],[Hiring Date]],"yyyy")</f>
        <v>2025</v>
      </c>
    </row>
    <row r="927" spans="1:22">
      <c r="A927" t="s">
        <v>516</v>
      </c>
      <c r="B927">
        <v>22</v>
      </c>
      <c r="C927">
        <v>604</v>
      </c>
      <c r="D927" t="s">
        <v>14</v>
      </c>
      <c r="E927" t="s">
        <v>1495</v>
      </c>
      <c r="F927" t="s">
        <v>1496</v>
      </c>
      <c r="G927">
        <v>69</v>
      </c>
      <c r="H927">
        <v>3</v>
      </c>
      <c r="I927">
        <v>1</v>
      </c>
      <c r="J927" t="s">
        <v>1476</v>
      </c>
      <c r="K927" t="s">
        <v>1477</v>
      </c>
      <c r="L927">
        <v>3</v>
      </c>
      <c r="M927" t="s">
        <v>15</v>
      </c>
      <c r="N927">
        <v>0</v>
      </c>
      <c r="O927" t="s">
        <v>13</v>
      </c>
      <c r="P927">
        <v>3</v>
      </c>
      <c r="Q927" s="4">
        <v>45975</v>
      </c>
      <c r="R927" s="4"/>
      <c r="S927" t="str">
        <f>TEXT(Table1[[#This Row],[Hiring Date]],"mmmm")</f>
        <v>November</v>
      </c>
      <c r="T927" s="1">
        <f>COUNTIF(S:S,Table1[[#This Row],[Months List]])</f>
        <v>0</v>
      </c>
      <c r="U927" t="str">
        <f>TEXT(Table1[[#This Row],[Hiring Date]],"dddd")</f>
        <v>Friday</v>
      </c>
      <c r="V927" s="1" t="str">
        <f>TEXT(Table1[[#This Row],[Hiring Date]],"yyyy")</f>
        <v>2025</v>
      </c>
    </row>
    <row r="928" spans="1:22">
      <c r="A928" t="s">
        <v>58</v>
      </c>
      <c r="B928">
        <v>35</v>
      </c>
      <c r="C928">
        <v>464</v>
      </c>
      <c r="D928" t="s">
        <v>14</v>
      </c>
      <c r="E928" t="s">
        <v>1500</v>
      </c>
      <c r="F928" t="s">
        <v>1496</v>
      </c>
      <c r="G928">
        <v>75</v>
      </c>
      <c r="H928">
        <v>3</v>
      </c>
      <c r="I928">
        <v>1</v>
      </c>
      <c r="J928" t="s">
        <v>1484</v>
      </c>
      <c r="K928" t="s">
        <v>1485</v>
      </c>
      <c r="L928">
        <v>4</v>
      </c>
      <c r="M928" t="s">
        <v>16</v>
      </c>
      <c r="N928">
        <v>1</v>
      </c>
      <c r="O928" t="s">
        <v>13</v>
      </c>
      <c r="P928">
        <v>1</v>
      </c>
      <c r="Q928" s="4">
        <v>45662</v>
      </c>
      <c r="R928" s="4"/>
      <c r="S928" t="str">
        <f>TEXT(Table1[[#This Row],[Hiring Date]],"mmmm")</f>
        <v>January</v>
      </c>
      <c r="T928" s="1">
        <f>COUNTIF(S:S,Table1[[#This Row],[Months List]])</f>
        <v>0</v>
      </c>
      <c r="U928" t="str">
        <f>TEXT(Table1[[#This Row],[Hiring Date]],"dddd")</f>
        <v>Sunday</v>
      </c>
      <c r="V928" s="1" t="str">
        <f>TEXT(Table1[[#This Row],[Hiring Date]],"yyyy")</f>
        <v>2025</v>
      </c>
    </row>
    <row r="929" spans="1:22">
      <c r="A929" t="s">
        <v>517</v>
      </c>
      <c r="B929">
        <v>33</v>
      </c>
      <c r="C929">
        <v>1216</v>
      </c>
      <c r="D929" t="s">
        <v>11</v>
      </c>
      <c r="E929" t="s">
        <v>1498</v>
      </c>
      <c r="F929" t="s">
        <v>1496</v>
      </c>
      <c r="G929">
        <v>39</v>
      </c>
      <c r="H929">
        <v>3</v>
      </c>
      <c r="I929">
        <v>2</v>
      </c>
      <c r="J929" t="s">
        <v>1474</v>
      </c>
      <c r="K929" t="s">
        <v>1475</v>
      </c>
      <c r="L929">
        <v>3</v>
      </c>
      <c r="M929" t="s">
        <v>16</v>
      </c>
      <c r="N929">
        <v>0</v>
      </c>
      <c r="O929" t="s">
        <v>13</v>
      </c>
      <c r="P929">
        <v>6</v>
      </c>
      <c r="Q929" s="4">
        <v>45883</v>
      </c>
      <c r="R929" s="4"/>
      <c r="S929" t="str">
        <f>TEXT(Table1[[#This Row],[Hiring Date]],"mmmm")</f>
        <v>August</v>
      </c>
      <c r="T929" s="1">
        <f>COUNTIF(S:S,Table1[[#This Row],[Months List]])</f>
        <v>0</v>
      </c>
      <c r="U929" t="str">
        <f>TEXT(Table1[[#This Row],[Hiring Date]],"dddd")</f>
        <v>Thursday</v>
      </c>
      <c r="V929" s="1" t="str">
        <f>TEXT(Table1[[#This Row],[Hiring Date]],"yyyy")</f>
        <v>2025</v>
      </c>
    </row>
    <row r="930" spans="1:22">
      <c r="A930" t="s">
        <v>518</v>
      </c>
      <c r="B930">
        <v>32</v>
      </c>
      <c r="C930">
        <v>646</v>
      </c>
      <c r="D930" t="s">
        <v>14</v>
      </c>
      <c r="E930" t="s">
        <v>1497</v>
      </c>
      <c r="F930" t="s">
        <v>1499</v>
      </c>
      <c r="G930">
        <v>92</v>
      </c>
      <c r="H930">
        <v>3</v>
      </c>
      <c r="I930">
        <v>2</v>
      </c>
      <c r="J930" t="s">
        <v>1476</v>
      </c>
      <c r="K930" t="s">
        <v>1477</v>
      </c>
      <c r="L930">
        <v>4</v>
      </c>
      <c r="M930" t="s">
        <v>15</v>
      </c>
      <c r="N930">
        <v>1</v>
      </c>
      <c r="O930" t="s">
        <v>10</v>
      </c>
      <c r="P930">
        <v>6</v>
      </c>
      <c r="Q930" s="4">
        <v>45787</v>
      </c>
      <c r="R930" s="4"/>
      <c r="S930" t="str">
        <f>TEXT(Table1[[#This Row],[Hiring Date]],"mmmm")</f>
        <v>May</v>
      </c>
      <c r="T930" s="1">
        <f>COUNTIF(S:S,Table1[[#This Row],[Months List]])</f>
        <v>0</v>
      </c>
      <c r="U930" t="str">
        <f>TEXT(Table1[[#This Row],[Hiring Date]],"dddd")</f>
        <v>Saturday</v>
      </c>
      <c r="V930" s="1" t="str">
        <f>TEXT(Table1[[#This Row],[Hiring Date]],"yyyy")</f>
        <v>2025</v>
      </c>
    </row>
    <row r="931" spans="1:22">
      <c r="A931" t="s">
        <v>519</v>
      </c>
      <c r="B931">
        <v>30</v>
      </c>
      <c r="C931">
        <v>160</v>
      </c>
      <c r="D931" t="s">
        <v>14</v>
      </c>
      <c r="E931" t="s">
        <v>1495</v>
      </c>
      <c r="F931" t="s">
        <v>1499</v>
      </c>
      <c r="G931">
        <v>71</v>
      </c>
      <c r="H931">
        <v>3</v>
      </c>
      <c r="I931">
        <v>1</v>
      </c>
      <c r="J931" t="s">
        <v>1476</v>
      </c>
      <c r="K931" t="s">
        <v>1477</v>
      </c>
      <c r="L931">
        <v>3</v>
      </c>
      <c r="M931" t="s">
        <v>16</v>
      </c>
      <c r="N931">
        <v>1</v>
      </c>
      <c r="O931" t="s">
        <v>13</v>
      </c>
      <c r="P931">
        <v>1</v>
      </c>
      <c r="Q931" s="4">
        <v>45946</v>
      </c>
      <c r="R931" s="4"/>
      <c r="S931" t="str">
        <f>TEXT(Table1[[#This Row],[Hiring Date]],"mmmm")</f>
        <v>October</v>
      </c>
      <c r="T931" s="1">
        <f>COUNTIF(S:S,Table1[[#This Row],[Months List]])</f>
        <v>0</v>
      </c>
      <c r="U931" t="str">
        <f>TEXT(Table1[[#This Row],[Hiring Date]],"dddd")</f>
        <v>Thursday</v>
      </c>
      <c r="V931" s="1" t="str">
        <f>TEXT(Table1[[#This Row],[Hiring Date]],"yyyy")</f>
        <v>2025</v>
      </c>
    </row>
    <row r="932" spans="1:22">
      <c r="A932" t="s">
        <v>520</v>
      </c>
      <c r="B932">
        <v>53</v>
      </c>
      <c r="C932">
        <v>238</v>
      </c>
      <c r="D932" t="s">
        <v>11</v>
      </c>
      <c r="E932" t="s">
        <v>1495</v>
      </c>
      <c r="F932" t="s">
        <v>1499</v>
      </c>
      <c r="G932">
        <v>34</v>
      </c>
      <c r="H932">
        <v>3</v>
      </c>
      <c r="I932">
        <v>2</v>
      </c>
      <c r="J932" t="s">
        <v>1474</v>
      </c>
      <c r="K932" t="s">
        <v>1475</v>
      </c>
      <c r="L932">
        <v>1</v>
      </c>
      <c r="M932" t="s">
        <v>12</v>
      </c>
      <c r="N932">
        <v>7</v>
      </c>
      <c r="O932" t="s">
        <v>13</v>
      </c>
      <c r="P932">
        <v>18</v>
      </c>
      <c r="Q932" s="4">
        <v>45794</v>
      </c>
      <c r="R932" s="4"/>
      <c r="S932" t="str">
        <f>TEXT(Table1[[#This Row],[Hiring Date]],"mmmm")</f>
        <v>May</v>
      </c>
      <c r="T932" s="1">
        <f>COUNTIF(S:S,Table1[[#This Row],[Months List]])</f>
        <v>0</v>
      </c>
      <c r="U932" t="str">
        <f>TEXT(Table1[[#This Row],[Hiring Date]],"dddd")</f>
        <v>Saturday</v>
      </c>
      <c r="V932" s="1" t="str">
        <f>TEXT(Table1[[#This Row],[Hiring Date]],"yyyy")</f>
        <v>2025</v>
      </c>
    </row>
    <row r="933" spans="1:22">
      <c r="A933" t="s">
        <v>521</v>
      </c>
      <c r="B933">
        <v>34</v>
      </c>
      <c r="C933">
        <v>1397</v>
      </c>
      <c r="D933" t="s">
        <v>14</v>
      </c>
      <c r="E933" t="s">
        <v>1497</v>
      </c>
      <c r="F933" t="s">
        <v>1496</v>
      </c>
      <c r="G933">
        <v>42</v>
      </c>
      <c r="H933">
        <v>3</v>
      </c>
      <c r="I933">
        <v>1</v>
      </c>
      <c r="J933" t="s">
        <v>1476</v>
      </c>
      <c r="K933" t="s">
        <v>1477</v>
      </c>
      <c r="L933">
        <v>4</v>
      </c>
      <c r="M933" t="s">
        <v>15</v>
      </c>
      <c r="N933">
        <v>1</v>
      </c>
      <c r="O933" t="s">
        <v>13</v>
      </c>
      <c r="P933">
        <v>10</v>
      </c>
      <c r="Q933" s="4">
        <v>45836</v>
      </c>
      <c r="R933" s="4"/>
      <c r="S933" t="str">
        <f>TEXT(Table1[[#This Row],[Hiring Date]],"mmmm")</f>
        <v>June</v>
      </c>
      <c r="T933" s="1">
        <f>COUNTIF(S:S,Table1[[#This Row],[Months List]])</f>
        <v>0</v>
      </c>
      <c r="U933" t="str">
        <f>TEXT(Table1[[#This Row],[Hiring Date]],"dddd")</f>
        <v>Saturday</v>
      </c>
      <c r="V933" s="1" t="str">
        <f>TEXT(Table1[[#This Row],[Hiring Date]],"yyyy")</f>
        <v>2025</v>
      </c>
    </row>
    <row r="934" spans="1:22">
      <c r="A934" t="s">
        <v>522</v>
      </c>
      <c r="B934">
        <v>45</v>
      </c>
      <c r="C934">
        <v>306</v>
      </c>
      <c r="D934" t="s">
        <v>11</v>
      </c>
      <c r="E934" t="s">
        <v>1497</v>
      </c>
      <c r="F934" t="s">
        <v>1499</v>
      </c>
      <c r="G934">
        <v>100</v>
      </c>
      <c r="H934">
        <v>3</v>
      </c>
      <c r="I934">
        <v>2</v>
      </c>
      <c r="J934" t="s">
        <v>1474</v>
      </c>
      <c r="K934" t="s">
        <v>1475</v>
      </c>
      <c r="L934">
        <v>1</v>
      </c>
      <c r="M934" t="s">
        <v>15</v>
      </c>
      <c r="N934">
        <v>2</v>
      </c>
      <c r="O934" t="s">
        <v>13</v>
      </c>
      <c r="P934">
        <v>5</v>
      </c>
      <c r="Q934" s="4">
        <v>45885</v>
      </c>
      <c r="R934" s="4"/>
      <c r="S934" t="str">
        <f>TEXT(Table1[[#This Row],[Hiring Date]],"mmmm")</f>
        <v>August</v>
      </c>
      <c r="T934" s="1">
        <f>COUNTIF(S:S,Table1[[#This Row],[Months List]])</f>
        <v>0</v>
      </c>
      <c r="U934" t="str">
        <f>TEXT(Table1[[#This Row],[Hiring Date]],"dddd")</f>
        <v>Saturday</v>
      </c>
      <c r="V934" s="1" t="str">
        <f>TEXT(Table1[[#This Row],[Hiring Date]],"yyyy")</f>
        <v>2025</v>
      </c>
    </row>
    <row r="935" spans="1:22">
      <c r="A935" t="s">
        <v>523</v>
      </c>
      <c r="B935">
        <v>26</v>
      </c>
      <c r="C935">
        <v>991</v>
      </c>
      <c r="D935" t="s">
        <v>14</v>
      </c>
      <c r="E935" t="s">
        <v>1497</v>
      </c>
      <c r="F935" t="s">
        <v>1499</v>
      </c>
      <c r="G935">
        <v>71</v>
      </c>
      <c r="H935">
        <v>3</v>
      </c>
      <c r="I935">
        <v>1</v>
      </c>
      <c r="J935" t="s">
        <v>1484</v>
      </c>
      <c r="K935" t="s">
        <v>1485</v>
      </c>
      <c r="L935">
        <v>4</v>
      </c>
      <c r="M935" t="s">
        <v>15</v>
      </c>
      <c r="N935">
        <v>1</v>
      </c>
      <c r="O935" t="s">
        <v>10</v>
      </c>
      <c r="P935">
        <v>3</v>
      </c>
      <c r="Q935" s="4">
        <v>45968</v>
      </c>
      <c r="R935" s="4"/>
      <c r="S935" t="str">
        <f>TEXT(Table1[[#This Row],[Hiring Date]],"mmmm")</f>
        <v>November</v>
      </c>
      <c r="T935" s="1">
        <f>COUNTIF(S:S,Table1[[#This Row],[Months List]])</f>
        <v>0</v>
      </c>
      <c r="U935" t="str">
        <f>TEXT(Table1[[#This Row],[Hiring Date]],"dddd")</f>
        <v>Friday</v>
      </c>
      <c r="V935" s="1" t="str">
        <f>TEXT(Table1[[#This Row],[Hiring Date]],"yyyy")</f>
        <v>2025</v>
      </c>
    </row>
    <row r="936" spans="1:22">
      <c r="A936" t="s">
        <v>524</v>
      </c>
      <c r="B936">
        <v>37</v>
      </c>
      <c r="C936">
        <v>482</v>
      </c>
      <c r="D936" t="s">
        <v>14</v>
      </c>
      <c r="E936" t="s">
        <v>1500</v>
      </c>
      <c r="F936" t="s">
        <v>1496</v>
      </c>
      <c r="G936">
        <v>36</v>
      </c>
      <c r="H936">
        <v>3</v>
      </c>
      <c r="I936">
        <v>3</v>
      </c>
      <c r="J936" t="s">
        <v>1480</v>
      </c>
      <c r="K936" t="s">
        <v>1481</v>
      </c>
      <c r="L936">
        <v>3</v>
      </c>
      <c r="M936" t="s">
        <v>15</v>
      </c>
      <c r="N936">
        <v>1</v>
      </c>
      <c r="O936" t="s">
        <v>13</v>
      </c>
      <c r="P936">
        <v>10</v>
      </c>
      <c r="Q936" s="4">
        <v>45711</v>
      </c>
      <c r="R936" s="4"/>
      <c r="S936" t="str">
        <f>TEXT(Table1[[#This Row],[Hiring Date]],"mmmm")</f>
        <v>February</v>
      </c>
      <c r="T936" s="1">
        <f>COUNTIF(S:S,Table1[[#This Row],[Months List]])</f>
        <v>0</v>
      </c>
      <c r="U936" t="str">
        <f>TEXT(Table1[[#This Row],[Hiring Date]],"dddd")</f>
        <v>Sunday</v>
      </c>
      <c r="V936" s="1" t="str">
        <f>TEXT(Table1[[#This Row],[Hiring Date]],"yyyy")</f>
        <v>2025</v>
      </c>
    </row>
    <row r="937" spans="1:22">
      <c r="A937" t="s">
        <v>525</v>
      </c>
      <c r="B937">
        <v>29</v>
      </c>
      <c r="C937">
        <v>1176</v>
      </c>
      <c r="D937" t="s">
        <v>11</v>
      </c>
      <c r="E937" t="s">
        <v>1495</v>
      </c>
      <c r="F937" t="s">
        <v>1499</v>
      </c>
      <c r="G937">
        <v>62</v>
      </c>
      <c r="H937">
        <v>3</v>
      </c>
      <c r="I937">
        <v>2</v>
      </c>
      <c r="J937" t="s">
        <v>1474</v>
      </c>
      <c r="K937" t="s">
        <v>1475</v>
      </c>
      <c r="L937">
        <v>3</v>
      </c>
      <c r="M937" t="s">
        <v>15</v>
      </c>
      <c r="N937">
        <v>1</v>
      </c>
      <c r="O937" t="s">
        <v>13</v>
      </c>
      <c r="P937">
        <v>6</v>
      </c>
      <c r="Q937" s="4">
        <v>45999</v>
      </c>
      <c r="R937" s="4"/>
      <c r="S937" t="str">
        <f>TEXT(Table1[[#This Row],[Hiring Date]],"mmmm")</f>
        <v>December</v>
      </c>
      <c r="T937" s="1">
        <f>COUNTIF(S:S,Table1[[#This Row],[Months List]])</f>
        <v>0</v>
      </c>
      <c r="U937" t="str">
        <f>TEXT(Table1[[#This Row],[Hiring Date]],"dddd")</f>
        <v>Monday</v>
      </c>
      <c r="V937" s="1" t="str">
        <f>TEXT(Table1[[#This Row],[Hiring Date]],"yyyy")</f>
        <v>2025</v>
      </c>
    </row>
    <row r="938" spans="1:22">
      <c r="A938" t="s">
        <v>526</v>
      </c>
      <c r="B938">
        <v>35</v>
      </c>
      <c r="C938">
        <v>1017</v>
      </c>
      <c r="D938" t="s">
        <v>14</v>
      </c>
      <c r="E938" t="s">
        <v>1497</v>
      </c>
      <c r="F938" t="s">
        <v>1496</v>
      </c>
      <c r="G938">
        <v>82</v>
      </c>
      <c r="H938">
        <v>1</v>
      </c>
      <c r="I938">
        <v>2</v>
      </c>
      <c r="J938" t="s">
        <v>1476</v>
      </c>
      <c r="K938" t="s">
        <v>1477</v>
      </c>
      <c r="L938">
        <v>4</v>
      </c>
      <c r="M938" t="s">
        <v>12</v>
      </c>
      <c r="N938">
        <v>1</v>
      </c>
      <c r="O938" t="s">
        <v>13</v>
      </c>
      <c r="P938">
        <v>17</v>
      </c>
      <c r="Q938" s="4">
        <v>45859</v>
      </c>
      <c r="R938" s="4"/>
      <c r="S938" t="str">
        <f>TEXT(Table1[[#This Row],[Hiring Date]],"mmmm")</f>
        <v>July</v>
      </c>
      <c r="T938" s="1">
        <f>COUNTIF(S:S,Table1[[#This Row],[Months List]])</f>
        <v>0</v>
      </c>
      <c r="U938" t="str">
        <f>TEXT(Table1[[#This Row],[Hiring Date]],"dddd")</f>
        <v>Monday</v>
      </c>
      <c r="V938" s="1" t="str">
        <f>TEXT(Table1[[#This Row],[Hiring Date]],"yyyy")</f>
        <v>2025</v>
      </c>
    </row>
    <row r="939" spans="1:22">
      <c r="A939" t="s">
        <v>59</v>
      </c>
      <c r="B939">
        <v>27</v>
      </c>
      <c r="C939">
        <v>1240</v>
      </c>
      <c r="D939" t="s">
        <v>14</v>
      </c>
      <c r="E939" t="s">
        <v>1497</v>
      </c>
      <c r="F939" t="s">
        <v>1499</v>
      </c>
      <c r="G939">
        <v>33</v>
      </c>
      <c r="H939">
        <v>3</v>
      </c>
      <c r="I939">
        <v>1</v>
      </c>
      <c r="J939" t="s">
        <v>1484</v>
      </c>
      <c r="K939" t="s">
        <v>1485</v>
      </c>
      <c r="L939">
        <v>1</v>
      </c>
      <c r="M939" t="s">
        <v>16</v>
      </c>
      <c r="N939">
        <v>1</v>
      </c>
      <c r="O939" t="s">
        <v>13</v>
      </c>
      <c r="P939">
        <v>1</v>
      </c>
      <c r="Q939" s="4">
        <v>45786</v>
      </c>
      <c r="R939" s="4"/>
      <c r="S939" t="str">
        <f>TEXT(Table1[[#This Row],[Hiring Date]],"mmmm")</f>
        <v>May</v>
      </c>
      <c r="T939" s="1">
        <f>COUNTIF(S:S,Table1[[#This Row],[Months List]])</f>
        <v>0</v>
      </c>
      <c r="U939" t="str">
        <f>TEXT(Table1[[#This Row],[Hiring Date]],"dddd")</f>
        <v>Friday</v>
      </c>
      <c r="V939" s="1" t="str">
        <f>TEXT(Table1[[#This Row],[Hiring Date]],"yyyy")</f>
        <v>2025</v>
      </c>
    </row>
    <row r="940" spans="1:22">
      <c r="A940" t="s">
        <v>527</v>
      </c>
      <c r="B940">
        <v>33</v>
      </c>
      <c r="C940">
        <v>1296</v>
      </c>
      <c r="D940" t="s">
        <v>14</v>
      </c>
      <c r="E940" t="s">
        <v>1497</v>
      </c>
      <c r="F940" t="s">
        <v>1496</v>
      </c>
      <c r="G940">
        <v>30</v>
      </c>
      <c r="H940">
        <v>3</v>
      </c>
      <c r="I940">
        <v>2</v>
      </c>
      <c r="J940" t="s">
        <v>1478</v>
      </c>
      <c r="K940" t="s">
        <v>1479</v>
      </c>
      <c r="L940">
        <v>4</v>
      </c>
      <c r="M940" t="s">
        <v>16</v>
      </c>
      <c r="N940">
        <v>3</v>
      </c>
      <c r="O940" t="s">
        <v>13</v>
      </c>
      <c r="P940">
        <v>15</v>
      </c>
      <c r="Q940" s="4">
        <v>45875</v>
      </c>
      <c r="R940" s="4"/>
      <c r="S940" t="str">
        <f>TEXT(Table1[[#This Row],[Hiring Date]],"mmmm")</f>
        <v>August</v>
      </c>
      <c r="T940" s="1">
        <f>COUNTIF(S:S,Table1[[#This Row],[Months List]])</f>
        <v>0</v>
      </c>
      <c r="U940" t="str">
        <f>TEXT(Table1[[#This Row],[Hiring Date]],"dddd")</f>
        <v>Wednesday</v>
      </c>
      <c r="V940" s="1" t="str">
        <f>TEXT(Table1[[#This Row],[Hiring Date]],"yyyy")</f>
        <v>2025</v>
      </c>
    </row>
    <row r="941" spans="1:22">
      <c r="A941" t="s">
        <v>528</v>
      </c>
      <c r="B941">
        <v>54</v>
      </c>
      <c r="C941">
        <v>397</v>
      </c>
      <c r="D941" t="s">
        <v>17</v>
      </c>
      <c r="E941" t="s">
        <v>1495</v>
      </c>
      <c r="F941" t="s">
        <v>1496</v>
      </c>
      <c r="G941">
        <v>88</v>
      </c>
      <c r="H941">
        <v>3</v>
      </c>
      <c r="I941">
        <v>3</v>
      </c>
      <c r="J941" t="s">
        <v>1486</v>
      </c>
      <c r="K941" t="s">
        <v>17</v>
      </c>
      <c r="L941">
        <v>2</v>
      </c>
      <c r="M941" t="s">
        <v>15</v>
      </c>
      <c r="N941">
        <v>2</v>
      </c>
      <c r="O941" t="s">
        <v>13</v>
      </c>
      <c r="P941">
        <v>16</v>
      </c>
      <c r="Q941" s="4">
        <v>45833</v>
      </c>
      <c r="R941" s="4"/>
      <c r="S941" t="str">
        <f>TEXT(Table1[[#This Row],[Hiring Date]],"mmmm")</f>
        <v>June</v>
      </c>
      <c r="T941" s="1">
        <f>COUNTIF(S:S,Table1[[#This Row],[Months List]])</f>
        <v>0</v>
      </c>
      <c r="U941" t="str">
        <f>TEXT(Table1[[#This Row],[Hiring Date]],"dddd")</f>
        <v>Wednesday</v>
      </c>
      <c r="V941" s="1" t="str">
        <f>TEXT(Table1[[#This Row],[Hiring Date]],"yyyy")</f>
        <v>2025</v>
      </c>
    </row>
    <row r="942" spans="1:22">
      <c r="A942" t="s">
        <v>529</v>
      </c>
      <c r="B942">
        <v>36</v>
      </c>
      <c r="C942">
        <v>913</v>
      </c>
      <c r="D942" t="s">
        <v>14</v>
      </c>
      <c r="E942" t="s">
        <v>1495</v>
      </c>
      <c r="F942" t="s">
        <v>1496</v>
      </c>
      <c r="G942">
        <v>48</v>
      </c>
      <c r="H942">
        <v>2</v>
      </c>
      <c r="I942">
        <v>2</v>
      </c>
      <c r="J942" t="s">
        <v>1480</v>
      </c>
      <c r="K942" t="s">
        <v>1481</v>
      </c>
      <c r="L942">
        <v>2</v>
      </c>
      <c r="M942" t="s">
        <v>16</v>
      </c>
      <c r="N942">
        <v>2</v>
      </c>
      <c r="O942" t="s">
        <v>10</v>
      </c>
      <c r="P942">
        <v>13</v>
      </c>
      <c r="Q942" s="4">
        <v>45973</v>
      </c>
      <c r="R942" s="4"/>
      <c r="S942" t="str">
        <f>TEXT(Table1[[#This Row],[Hiring Date]],"mmmm")</f>
        <v>November</v>
      </c>
      <c r="T942" s="1">
        <f>COUNTIF(S:S,Table1[[#This Row],[Months List]])</f>
        <v>0</v>
      </c>
      <c r="U942" t="str">
        <f>TEXT(Table1[[#This Row],[Hiring Date]],"dddd")</f>
        <v>Wednesday</v>
      </c>
      <c r="V942" s="1" t="str">
        <f>TEXT(Table1[[#This Row],[Hiring Date]],"yyyy")</f>
        <v>2025</v>
      </c>
    </row>
    <row r="943" spans="1:22">
      <c r="A943" t="s">
        <v>530</v>
      </c>
      <c r="B943">
        <v>27</v>
      </c>
      <c r="C943">
        <v>1115</v>
      </c>
      <c r="D943" t="s">
        <v>14</v>
      </c>
      <c r="E943" t="s">
        <v>1495</v>
      </c>
      <c r="F943" t="s">
        <v>1496</v>
      </c>
      <c r="G943">
        <v>54</v>
      </c>
      <c r="H943">
        <v>2</v>
      </c>
      <c r="I943">
        <v>1</v>
      </c>
      <c r="J943" t="s">
        <v>1476</v>
      </c>
      <c r="K943" t="s">
        <v>1477</v>
      </c>
      <c r="L943">
        <v>4</v>
      </c>
      <c r="M943" t="s">
        <v>12</v>
      </c>
      <c r="N943">
        <v>0</v>
      </c>
      <c r="O943" t="s">
        <v>13</v>
      </c>
      <c r="P943">
        <v>5</v>
      </c>
      <c r="Q943" s="4">
        <v>45696</v>
      </c>
      <c r="R943" s="4"/>
      <c r="S943" t="str">
        <f>TEXT(Table1[[#This Row],[Hiring Date]],"mmmm")</f>
        <v>February</v>
      </c>
      <c r="T943" s="1">
        <f>COUNTIF(S:S,Table1[[#This Row],[Months List]])</f>
        <v>0</v>
      </c>
      <c r="U943" t="str">
        <f>TEXT(Table1[[#This Row],[Hiring Date]],"dddd")</f>
        <v>Saturday</v>
      </c>
      <c r="V943" s="1" t="str">
        <f>TEXT(Table1[[#This Row],[Hiring Date]],"yyyy")</f>
        <v>2025</v>
      </c>
    </row>
    <row r="944" spans="1:22">
      <c r="A944" t="s">
        <v>531</v>
      </c>
      <c r="B944">
        <v>20</v>
      </c>
      <c r="C944">
        <v>1362</v>
      </c>
      <c r="D944" t="s">
        <v>14</v>
      </c>
      <c r="E944" t="s">
        <v>1495</v>
      </c>
      <c r="F944" t="s">
        <v>1496</v>
      </c>
      <c r="G944">
        <v>32</v>
      </c>
      <c r="H944">
        <v>3</v>
      </c>
      <c r="I944">
        <v>1</v>
      </c>
      <c r="J944" t="s">
        <v>1476</v>
      </c>
      <c r="K944" t="s">
        <v>1477</v>
      </c>
      <c r="L944">
        <v>3</v>
      </c>
      <c r="M944" t="s">
        <v>12</v>
      </c>
      <c r="N944">
        <v>1</v>
      </c>
      <c r="O944" t="s">
        <v>10</v>
      </c>
      <c r="P944">
        <v>1</v>
      </c>
      <c r="Q944" s="4">
        <v>45888</v>
      </c>
      <c r="R944" s="4"/>
      <c r="S944" t="str">
        <f>TEXT(Table1[[#This Row],[Hiring Date]],"mmmm")</f>
        <v>August</v>
      </c>
      <c r="T944" s="1">
        <f>COUNTIF(S:S,Table1[[#This Row],[Months List]])</f>
        <v>0</v>
      </c>
      <c r="U944" t="str">
        <f>TEXT(Table1[[#This Row],[Hiring Date]],"dddd")</f>
        <v>Tuesday</v>
      </c>
      <c r="V944" s="1" t="str">
        <f>TEXT(Table1[[#This Row],[Hiring Date]],"yyyy")</f>
        <v>2025</v>
      </c>
    </row>
    <row r="945" spans="1:22">
      <c r="A945" t="s">
        <v>532</v>
      </c>
      <c r="B945">
        <v>33</v>
      </c>
      <c r="C945">
        <v>1076</v>
      </c>
      <c r="D945" t="s">
        <v>14</v>
      </c>
      <c r="E945" t="s">
        <v>1497</v>
      </c>
      <c r="F945" t="s">
        <v>1496</v>
      </c>
      <c r="G945">
        <v>70</v>
      </c>
      <c r="H945">
        <v>3</v>
      </c>
      <c r="I945">
        <v>1</v>
      </c>
      <c r="J945" t="s">
        <v>1476</v>
      </c>
      <c r="K945" t="s">
        <v>1477</v>
      </c>
      <c r="L945">
        <v>1</v>
      </c>
      <c r="M945" t="s">
        <v>12</v>
      </c>
      <c r="N945">
        <v>1</v>
      </c>
      <c r="O945" t="s">
        <v>10</v>
      </c>
      <c r="P945">
        <v>10</v>
      </c>
      <c r="Q945" s="4">
        <v>45800</v>
      </c>
      <c r="R945" s="4"/>
      <c r="S945" t="str">
        <f>TEXT(Table1[[#This Row],[Hiring Date]],"mmmm")</f>
        <v>May</v>
      </c>
      <c r="T945" s="1">
        <f>COUNTIF(S:S,Table1[[#This Row],[Months List]])</f>
        <v>0</v>
      </c>
      <c r="U945" t="str">
        <f>TEXT(Table1[[#This Row],[Hiring Date]],"dddd")</f>
        <v>Friday</v>
      </c>
      <c r="V945" s="1" t="str">
        <f>TEXT(Table1[[#This Row],[Hiring Date]],"yyyy")</f>
        <v>2025</v>
      </c>
    </row>
    <row r="946" spans="1:22">
      <c r="A946" t="s">
        <v>533</v>
      </c>
      <c r="B946">
        <v>35</v>
      </c>
      <c r="C946">
        <v>727</v>
      </c>
      <c r="D946" t="s">
        <v>14</v>
      </c>
      <c r="E946" t="s">
        <v>1497</v>
      </c>
      <c r="F946" t="s">
        <v>1496</v>
      </c>
      <c r="G946">
        <v>41</v>
      </c>
      <c r="H946">
        <v>2</v>
      </c>
      <c r="I946">
        <v>1</v>
      </c>
      <c r="J946" t="s">
        <v>1484</v>
      </c>
      <c r="K946" t="s">
        <v>1485</v>
      </c>
      <c r="L946">
        <v>3</v>
      </c>
      <c r="M946" t="s">
        <v>15</v>
      </c>
      <c r="N946">
        <v>1</v>
      </c>
      <c r="O946" t="s">
        <v>13</v>
      </c>
      <c r="P946">
        <v>1</v>
      </c>
      <c r="Q946" s="4">
        <v>45649</v>
      </c>
      <c r="R946" s="4"/>
      <c r="S946" t="str">
        <f>TEXT(Table1[[#This Row],[Hiring Date]],"mmmm")</f>
        <v>December</v>
      </c>
      <c r="T946" s="1">
        <f>COUNTIF(S:S,Table1[[#This Row],[Months List]])</f>
        <v>0</v>
      </c>
      <c r="U946" t="str">
        <f>TEXT(Table1[[#This Row],[Hiring Date]],"dddd")</f>
        <v>Monday</v>
      </c>
      <c r="V946" s="1" t="str">
        <f>TEXT(Table1[[#This Row],[Hiring Date]],"yyyy")</f>
        <v>2024</v>
      </c>
    </row>
    <row r="947" spans="1:22">
      <c r="A947" t="s">
        <v>534</v>
      </c>
      <c r="B947">
        <v>23</v>
      </c>
      <c r="C947">
        <v>885</v>
      </c>
      <c r="D947" t="s">
        <v>14</v>
      </c>
      <c r="E947" t="s">
        <v>1495</v>
      </c>
      <c r="F947" t="s">
        <v>1496</v>
      </c>
      <c r="G947">
        <v>58</v>
      </c>
      <c r="H947">
        <v>4</v>
      </c>
      <c r="I947">
        <v>1</v>
      </c>
      <c r="J947" t="s">
        <v>1476</v>
      </c>
      <c r="K947" t="s">
        <v>1477</v>
      </c>
      <c r="L947">
        <v>1</v>
      </c>
      <c r="M947" t="s">
        <v>15</v>
      </c>
      <c r="N947">
        <v>2</v>
      </c>
      <c r="O947" t="s">
        <v>13</v>
      </c>
      <c r="P947">
        <v>5</v>
      </c>
      <c r="Q947" s="4">
        <v>45748</v>
      </c>
      <c r="R947" s="4"/>
      <c r="S947" t="str">
        <f>TEXT(Table1[[#This Row],[Hiring Date]],"mmmm")</f>
        <v>April</v>
      </c>
      <c r="T947" s="1">
        <f>COUNTIF(S:S,Table1[[#This Row],[Months List]])</f>
        <v>0</v>
      </c>
      <c r="U947" t="str">
        <f>TEXT(Table1[[#This Row],[Hiring Date]],"dddd")</f>
        <v>Tuesday</v>
      </c>
      <c r="V947" s="1" t="str">
        <f>TEXT(Table1[[#This Row],[Hiring Date]],"yyyy")</f>
        <v>2025</v>
      </c>
    </row>
    <row r="948" spans="1:22">
      <c r="A948" t="s">
        <v>535</v>
      </c>
      <c r="B948">
        <v>25</v>
      </c>
      <c r="C948">
        <v>810</v>
      </c>
      <c r="D948" t="s">
        <v>11</v>
      </c>
      <c r="E948" t="s">
        <v>1497</v>
      </c>
      <c r="F948" t="s">
        <v>1496</v>
      </c>
      <c r="G948">
        <v>57</v>
      </c>
      <c r="H948">
        <v>4</v>
      </c>
      <c r="I948">
        <v>2</v>
      </c>
      <c r="J948" t="s">
        <v>1474</v>
      </c>
      <c r="K948" t="s">
        <v>1475</v>
      </c>
      <c r="L948">
        <v>2</v>
      </c>
      <c r="M948" t="s">
        <v>15</v>
      </c>
      <c r="N948">
        <v>0</v>
      </c>
      <c r="O948" t="s">
        <v>13</v>
      </c>
      <c r="P948">
        <v>4</v>
      </c>
      <c r="Q948" s="4">
        <v>45785</v>
      </c>
      <c r="R948" s="4"/>
      <c r="S948" t="str">
        <f>TEXT(Table1[[#This Row],[Hiring Date]],"mmmm")</f>
        <v>May</v>
      </c>
      <c r="T948" s="1">
        <f>COUNTIF(S:S,Table1[[#This Row],[Months List]])</f>
        <v>0</v>
      </c>
      <c r="U948" t="str">
        <f>TEXT(Table1[[#This Row],[Hiring Date]],"dddd")</f>
        <v>Thursday</v>
      </c>
      <c r="V948" s="1" t="str">
        <f>TEXT(Table1[[#This Row],[Hiring Date]],"yyyy")</f>
        <v>2025</v>
      </c>
    </row>
    <row r="949" spans="1:22">
      <c r="A949" t="s">
        <v>536</v>
      </c>
      <c r="B949">
        <v>38</v>
      </c>
      <c r="C949">
        <v>243</v>
      </c>
      <c r="D949" t="s">
        <v>11</v>
      </c>
      <c r="E949" t="s">
        <v>1498</v>
      </c>
      <c r="F949" t="s">
        <v>1499</v>
      </c>
      <c r="G949">
        <v>46</v>
      </c>
      <c r="H949">
        <v>2</v>
      </c>
      <c r="I949">
        <v>2</v>
      </c>
      <c r="J949" t="s">
        <v>1474</v>
      </c>
      <c r="K949" t="s">
        <v>1475</v>
      </c>
      <c r="L949">
        <v>4</v>
      </c>
      <c r="M949" t="s">
        <v>12</v>
      </c>
      <c r="N949">
        <v>0</v>
      </c>
      <c r="O949" t="s">
        <v>13</v>
      </c>
      <c r="P949">
        <v>8</v>
      </c>
      <c r="Q949" s="4">
        <v>45644</v>
      </c>
      <c r="R949" s="4"/>
      <c r="S949" t="str">
        <f>TEXT(Table1[[#This Row],[Hiring Date]],"mmmm")</f>
        <v>December</v>
      </c>
      <c r="T949" s="1">
        <f>COUNTIF(S:S,Table1[[#This Row],[Months List]])</f>
        <v>0</v>
      </c>
      <c r="U949" t="str">
        <f>TEXT(Table1[[#This Row],[Hiring Date]],"dddd")</f>
        <v>Wednesday</v>
      </c>
      <c r="V949" s="1" t="str">
        <f>TEXT(Table1[[#This Row],[Hiring Date]],"yyyy")</f>
        <v>2024</v>
      </c>
    </row>
    <row r="950" spans="1:22">
      <c r="A950" t="s">
        <v>60</v>
      </c>
      <c r="B950">
        <v>26</v>
      </c>
      <c r="C950">
        <v>1357</v>
      </c>
      <c r="D950" t="s">
        <v>14</v>
      </c>
      <c r="E950" t="s">
        <v>1497</v>
      </c>
      <c r="F950" t="s">
        <v>1496</v>
      </c>
      <c r="G950">
        <v>48</v>
      </c>
      <c r="H950">
        <v>1</v>
      </c>
      <c r="I950">
        <v>1</v>
      </c>
      <c r="J950" t="s">
        <v>1484</v>
      </c>
      <c r="K950" t="s">
        <v>1485</v>
      </c>
      <c r="L950">
        <v>3</v>
      </c>
      <c r="M950" t="s">
        <v>12</v>
      </c>
      <c r="N950">
        <v>1</v>
      </c>
      <c r="O950" t="s">
        <v>13</v>
      </c>
      <c r="P950">
        <v>1</v>
      </c>
      <c r="Q950" s="4">
        <v>45894</v>
      </c>
      <c r="R950" s="4"/>
      <c r="S950" t="str">
        <f>TEXT(Table1[[#This Row],[Hiring Date]],"mmmm")</f>
        <v>August</v>
      </c>
      <c r="T950" s="1">
        <f>COUNTIF(S:S,Table1[[#This Row],[Months List]])</f>
        <v>0</v>
      </c>
      <c r="U950" t="str">
        <f>TEXT(Table1[[#This Row],[Hiring Date]],"dddd")</f>
        <v>Monday</v>
      </c>
      <c r="V950" s="1" t="str">
        <f>TEXT(Table1[[#This Row],[Hiring Date]],"yyyy")</f>
        <v>2025</v>
      </c>
    </row>
    <row r="951" spans="1:22">
      <c r="A951" t="s">
        <v>537</v>
      </c>
      <c r="B951">
        <v>29</v>
      </c>
      <c r="C951">
        <v>806</v>
      </c>
      <c r="D951" t="s">
        <v>14</v>
      </c>
      <c r="E951" t="s">
        <v>1497</v>
      </c>
      <c r="F951" t="s">
        <v>1496</v>
      </c>
      <c r="G951">
        <v>76</v>
      </c>
      <c r="H951">
        <v>1</v>
      </c>
      <c r="I951">
        <v>1</v>
      </c>
      <c r="J951" t="s">
        <v>1476</v>
      </c>
      <c r="K951" t="s">
        <v>1477</v>
      </c>
      <c r="L951">
        <v>4</v>
      </c>
      <c r="M951" t="s">
        <v>16</v>
      </c>
      <c r="N951">
        <v>1</v>
      </c>
      <c r="O951" t="s">
        <v>13</v>
      </c>
      <c r="P951">
        <v>10</v>
      </c>
      <c r="Q951" s="4">
        <v>45775</v>
      </c>
      <c r="R951" s="4"/>
      <c r="S951" t="str">
        <f>TEXT(Table1[[#This Row],[Hiring Date]],"mmmm")</f>
        <v>April</v>
      </c>
      <c r="T951" s="1">
        <f>COUNTIF(S:S,Table1[[#This Row],[Months List]])</f>
        <v>0</v>
      </c>
      <c r="U951" t="str">
        <f>TEXT(Table1[[#This Row],[Hiring Date]],"dddd")</f>
        <v>Monday</v>
      </c>
      <c r="V951" s="1" t="str">
        <f>TEXT(Table1[[#This Row],[Hiring Date]],"yyyy")</f>
        <v>2025</v>
      </c>
    </row>
    <row r="952" spans="1:22">
      <c r="A952" t="s">
        <v>538</v>
      </c>
      <c r="B952">
        <v>48</v>
      </c>
      <c r="C952">
        <v>817</v>
      </c>
      <c r="D952" t="s">
        <v>11</v>
      </c>
      <c r="E952" t="s">
        <v>1498</v>
      </c>
      <c r="F952" t="s">
        <v>1496</v>
      </c>
      <c r="G952">
        <v>56</v>
      </c>
      <c r="H952">
        <v>4</v>
      </c>
      <c r="I952">
        <v>2</v>
      </c>
      <c r="J952" t="s">
        <v>1474</v>
      </c>
      <c r="K952" t="s">
        <v>1475</v>
      </c>
      <c r="L952">
        <v>2</v>
      </c>
      <c r="M952" t="s">
        <v>15</v>
      </c>
      <c r="N952">
        <v>3</v>
      </c>
      <c r="O952" t="s">
        <v>13</v>
      </c>
      <c r="P952">
        <v>12</v>
      </c>
      <c r="Q952" s="4">
        <v>45644</v>
      </c>
      <c r="R952" s="4"/>
      <c r="S952" t="str">
        <f>TEXT(Table1[[#This Row],[Hiring Date]],"mmmm")</f>
        <v>December</v>
      </c>
      <c r="T952" s="1">
        <f>COUNTIF(S:S,Table1[[#This Row],[Months List]])</f>
        <v>0</v>
      </c>
      <c r="U952" t="str">
        <f>TEXT(Table1[[#This Row],[Hiring Date]],"dddd")</f>
        <v>Wednesday</v>
      </c>
      <c r="V952" s="1" t="str">
        <f>TEXT(Table1[[#This Row],[Hiring Date]],"yyyy")</f>
        <v>2024</v>
      </c>
    </row>
    <row r="953" spans="1:22">
      <c r="A953" t="s">
        <v>539</v>
      </c>
      <c r="B953">
        <v>27</v>
      </c>
      <c r="C953">
        <v>1410</v>
      </c>
      <c r="D953" t="s">
        <v>11</v>
      </c>
      <c r="E953" t="s">
        <v>1495</v>
      </c>
      <c r="F953" t="s">
        <v>1499</v>
      </c>
      <c r="G953">
        <v>71</v>
      </c>
      <c r="H953">
        <v>4</v>
      </c>
      <c r="I953">
        <v>2</v>
      </c>
      <c r="J953" t="s">
        <v>1474</v>
      </c>
      <c r="K953" t="s">
        <v>1475</v>
      </c>
      <c r="L953">
        <v>4</v>
      </c>
      <c r="M953" t="s">
        <v>16</v>
      </c>
      <c r="N953">
        <v>1</v>
      </c>
      <c r="O953" t="s">
        <v>10</v>
      </c>
      <c r="P953">
        <v>6</v>
      </c>
      <c r="Q953" s="4">
        <v>45667</v>
      </c>
      <c r="R953" s="4"/>
      <c r="S953" t="str">
        <f>TEXT(Table1[[#This Row],[Hiring Date]],"mmmm")</f>
        <v>January</v>
      </c>
      <c r="T953" s="1">
        <f>COUNTIF(S:S,Table1[[#This Row],[Months List]])</f>
        <v>0</v>
      </c>
      <c r="U953" t="str">
        <f>TEXT(Table1[[#This Row],[Hiring Date]],"dddd")</f>
        <v>Friday</v>
      </c>
      <c r="V953" s="1" t="str">
        <f>TEXT(Table1[[#This Row],[Hiring Date]],"yyyy")</f>
        <v>2025</v>
      </c>
    </row>
    <row r="954" spans="1:22">
      <c r="A954" t="s">
        <v>540</v>
      </c>
      <c r="B954">
        <v>37</v>
      </c>
      <c r="C954">
        <v>1225</v>
      </c>
      <c r="D954" t="s">
        <v>14</v>
      </c>
      <c r="E954" t="s">
        <v>1497</v>
      </c>
      <c r="F954" t="s">
        <v>1496</v>
      </c>
      <c r="G954">
        <v>80</v>
      </c>
      <c r="H954">
        <v>4</v>
      </c>
      <c r="I954">
        <v>1</v>
      </c>
      <c r="J954" t="s">
        <v>1476</v>
      </c>
      <c r="K954" t="s">
        <v>1477</v>
      </c>
      <c r="L954">
        <v>4</v>
      </c>
      <c r="M954" t="s">
        <v>12</v>
      </c>
      <c r="N954">
        <v>3</v>
      </c>
      <c r="O954" t="s">
        <v>13</v>
      </c>
      <c r="P954">
        <v>4</v>
      </c>
      <c r="Q954" s="4">
        <v>45655</v>
      </c>
      <c r="R954" s="4"/>
      <c r="S954" t="str">
        <f>TEXT(Table1[[#This Row],[Hiring Date]],"mmmm")</f>
        <v>December</v>
      </c>
      <c r="T954" s="1">
        <f>COUNTIF(S:S,Table1[[#This Row],[Months List]])</f>
        <v>0</v>
      </c>
      <c r="U954" t="str">
        <f>TEXT(Table1[[#This Row],[Hiring Date]],"dddd")</f>
        <v>Sunday</v>
      </c>
      <c r="V954" s="1" t="str">
        <f>TEXT(Table1[[#This Row],[Hiring Date]],"yyyy")</f>
        <v>2024</v>
      </c>
    </row>
    <row r="955" spans="1:22">
      <c r="A955" t="s">
        <v>541</v>
      </c>
      <c r="B955">
        <v>50</v>
      </c>
      <c r="C955">
        <v>1207</v>
      </c>
      <c r="D955" t="s">
        <v>14</v>
      </c>
      <c r="E955" t="s">
        <v>1495</v>
      </c>
      <c r="F955" t="s">
        <v>1496</v>
      </c>
      <c r="G955">
        <v>74</v>
      </c>
      <c r="H955">
        <v>4</v>
      </c>
      <c r="I955">
        <v>1</v>
      </c>
      <c r="J955" t="s">
        <v>1484</v>
      </c>
      <c r="K955" t="s">
        <v>1485</v>
      </c>
      <c r="L955">
        <v>3</v>
      </c>
      <c r="M955" t="s">
        <v>15</v>
      </c>
      <c r="N955">
        <v>1</v>
      </c>
      <c r="O955" t="s">
        <v>10</v>
      </c>
      <c r="P955">
        <v>20</v>
      </c>
      <c r="Q955" s="4">
        <v>45902</v>
      </c>
      <c r="R955" s="4"/>
      <c r="S955" t="str">
        <f>TEXT(Table1[[#This Row],[Hiring Date]],"mmmm")</f>
        <v>September</v>
      </c>
      <c r="T955" s="1">
        <f>COUNTIF(S:S,Table1[[#This Row],[Months List]])</f>
        <v>0</v>
      </c>
      <c r="U955" t="str">
        <f>TEXT(Table1[[#This Row],[Hiring Date]],"dddd")</f>
        <v>Tuesday</v>
      </c>
      <c r="V955" s="1" t="str">
        <f>TEXT(Table1[[#This Row],[Hiring Date]],"yyyy")</f>
        <v>2025</v>
      </c>
    </row>
    <row r="956" spans="1:22">
      <c r="A956" t="s">
        <v>542</v>
      </c>
      <c r="B956">
        <v>34</v>
      </c>
      <c r="C956">
        <v>1442</v>
      </c>
      <c r="D956" t="s">
        <v>14</v>
      </c>
      <c r="E956" t="s">
        <v>1495</v>
      </c>
      <c r="F956" t="s">
        <v>1499</v>
      </c>
      <c r="G956">
        <v>46</v>
      </c>
      <c r="H956">
        <v>2</v>
      </c>
      <c r="I956">
        <v>3</v>
      </c>
      <c r="J956" t="s">
        <v>1478</v>
      </c>
      <c r="K956" t="s">
        <v>1479</v>
      </c>
      <c r="L956">
        <v>2</v>
      </c>
      <c r="M956" t="s">
        <v>12</v>
      </c>
      <c r="N956">
        <v>1</v>
      </c>
      <c r="O956" t="s">
        <v>13</v>
      </c>
      <c r="P956">
        <v>9</v>
      </c>
      <c r="Q956" s="4">
        <v>45836</v>
      </c>
      <c r="R956" s="4"/>
      <c r="S956" t="str">
        <f>TEXT(Table1[[#This Row],[Hiring Date]],"mmmm")</f>
        <v>June</v>
      </c>
      <c r="T956" s="1">
        <f>COUNTIF(S:S,Table1[[#This Row],[Months List]])</f>
        <v>0</v>
      </c>
      <c r="U956" t="str">
        <f>TEXT(Table1[[#This Row],[Hiring Date]],"dddd")</f>
        <v>Saturday</v>
      </c>
      <c r="V956" s="1" t="str">
        <f>TEXT(Table1[[#This Row],[Hiring Date]],"yyyy")</f>
        <v>2025</v>
      </c>
    </row>
    <row r="957" spans="1:22">
      <c r="A957" t="s">
        <v>543</v>
      </c>
      <c r="B957">
        <v>24</v>
      </c>
      <c r="C957">
        <v>693</v>
      </c>
      <c r="D957" t="s">
        <v>11</v>
      </c>
      <c r="E957" t="s">
        <v>1497</v>
      </c>
      <c r="F957" t="s">
        <v>1499</v>
      </c>
      <c r="G957">
        <v>65</v>
      </c>
      <c r="H957">
        <v>3</v>
      </c>
      <c r="I957">
        <v>2</v>
      </c>
      <c r="J957" t="s">
        <v>1474</v>
      </c>
      <c r="K957" t="s">
        <v>1475</v>
      </c>
      <c r="L957">
        <v>3</v>
      </c>
      <c r="M957" t="s">
        <v>12</v>
      </c>
      <c r="N957">
        <v>9</v>
      </c>
      <c r="O957" t="s">
        <v>13</v>
      </c>
      <c r="P957">
        <v>4</v>
      </c>
      <c r="Q957" s="4">
        <v>45882</v>
      </c>
      <c r="R957" s="4"/>
      <c r="S957" t="str">
        <f>TEXT(Table1[[#This Row],[Hiring Date]],"mmmm")</f>
        <v>August</v>
      </c>
      <c r="T957" s="1">
        <f>COUNTIF(S:S,Table1[[#This Row],[Months List]])</f>
        <v>0</v>
      </c>
      <c r="U957" t="str">
        <f>TEXT(Table1[[#This Row],[Hiring Date]],"dddd")</f>
        <v>Wednesday</v>
      </c>
      <c r="V957" s="1" t="str">
        <f>TEXT(Table1[[#This Row],[Hiring Date]],"yyyy")</f>
        <v>2025</v>
      </c>
    </row>
    <row r="958" spans="1:22">
      <c r="A958" t="s">
        <v>544</v>
      </c>
      <c r="B958">
        <v>39</v>
      </c>
      <c r="C958">
        <v>408</v>
      </c>
      <c r="D958" t="s">
        <v>14</v>
      </c>
      <c r="E958" t="s">
        <v>1501</v>
      </c>
      <c r="F958" t="s">
        <v>1499</v>
      </c>
      <c r="G958">
        <v>80</v>
      </c>
      <c r="H958">
        <v>2</v>
      </c>
      <c r="I958">
        <v>2</v>
      </c>
      <c r="J958" t="s">
        <v>1478</v>
      </c>
      <c r="K958" t="s">
        <v>1479</v>
      </c>
      <c r="L958">
        <v>3</v>
      </c>
      <c r="M958" t="s">
        <v>12</v>
      </c>
      <c r="N958">
        <v>1</v>
      </c>
      <c r="O958" t="s">
        <v>13</v>
      </c>
      <c r="P958">
        <v>20</v>
      </c>
      <c r="Q958" s="4">
        <v>45721</v>
      </c>
      <c r="R958" s="4"/>
      <c r="S958" t="str">
        <f>TEXT(Table1[[#This Row],[Hiring Date]],"mmmm")</f>
        <v>March</v>
      </c>
      <c r="T958" s="1">
        <f>COUNTIF(S:S,Table1[[#This Row],[Months List]])</f>
        <v>0</v>
      </c>
      <c r="U958" t="str">
        <f>TEXT(Table1[[#This Row],[Hiring Date]],"dddd")</f>
        <v>Wednesday</v>
      </c>
      <c r="V958" s="1" t="str">
        <f>TEXT(Table1[[#This Row],[Hiring Date]],"yyyy")</f>
        <v>2025</v>
      </c>
    </row>
    <row r="959" spans="1:22">
      <c r="A959" t="s">
        <v>545</v>
      </c>
      <c r="B959">
        <v>32</v>
      </c>
      <c r="C959">
        <v>929</v>
      </c>
      <c r="D959" t="s">
        <v>11</v>
      </c>
      <c r="E959" t="s">
        <v>1498</v>
      </c>
      <c r="F959" t="s">
        <v>1496</v>
      </c>
      <c r="G959">
        <v>55</v>
      </c>
      <c r="H959">
        <v>3</v>
      </c>
      <c r="I959">
        <v>2</v>
      </c>
      <c r="J959" t="s">
        <v>1474</v>
      </c>
      <c r="K959" t="s">
        <v>1475</v>
      </c>
      <c r="L959">
        <v>4</v>
      </c>
      <c r="M959" t="s">
        <v>12</v>
      </c>
      <c r="N959">
        <v>1</v>
      </c>
      <c r="O959" t="s">
        <v>13</v>
      </c>
      <c r="P959">
        <v>10</v>
      </c>
      <c r="Q959" s="4">
        <v>45655</v>
      </c>
      <c r="R959" s="4"/>
      <c r="S959" t="str">
        <f>TEXT(Table1[[#This Row],[Hiring Date]],"mmmm")</f>
        <v>December</v>
      </c>
      <c r="T959" s="1">
        <f>COUNTIF(S:S,Table1[[#This Row],[Months List]])</f>
        <v>0</v>
      </c>
      <c r="U959" t="str">
        <f>TEXT(Table1[[#This Row],[Hiring Date]],"dddd")</f>
        <v>Sunday</v>
      </c>
      <c r="V959" s="1" t="str">
        <f>TEXT(Table1[[#This Row],[Hiring Date]],"yyyy")</f>
        <v>2024</v>
      </c>
    </row>
    <row r="960" spans="1:22">
      <c r="A960" t="s">
        <v>546</v>
      </c>
      <c r="B960">
        <v>50</v>
      </c>
      <c r="C960">
        <v>562</v>
      </c>
      <c r="D960" t="s">
        <v>11</v>
      </c>
      <c r="E960" t="s">
        <v>1501</v>
      </c>
      <c r="F960" t="s">
        <v>1496</v>
      </c>
      <c r="G960">
        <v>50</v>
      </c>
      <c r="H960">
        <v>3</v>
      </c>
      <c r="I960">
        <v>2</v>
      </c>
      <c r="J960" t="s">
        <v>1474</v>
      </c>
      <c r="K960" t="s">
        <v>1475</v>
      </c>
      <c r="L960">
        <v>3</v>
      </c>
      <c r="M960" t="s">
        <v>15</v>
      </c>
      <c r="N960">
        <v>3</v>
      </c>
      <c r="O960" t="s">
        <v>10</v>
      </c>
      <c r="P960">
        <v>18</v>
      </c>
      <c r="Q960" s="4">
        <v>45911</v>
      </c>
      <c r="R960" s="4"/>
      <c r="S960" t="str">
        <f>TEXT(Table1[[#This Row],[Hiring Date]],"mmmm")</f>
        <v>September</v>
      </c>
      <c r="T960" s="1">
        <f>COUNTIF(S:S,Table1[[#This Row],[Months List]])</f>
        <v>0</v>
      </c>
      <c r="U960" t="str">
        <f>TEXT(Table1[[#This Row],[Hiring Date]],"dddd")</f>
        <v>Thursday</v>
      </c>
      <c r="V960" s="1" t="str">
        <f>TEXT(Table1[[#This Row],[Hiring Date]],"yyyy")</f>
        <v>2025</v>
      </c>
    </row>
    <row r="961" spans="1:22">
      <c r="A961" t="s">
        <v>61</v>
      </c>
      <c r="B961">
        <v>27</v>
      </c>
      <c r="C961">
        <v>994</v>
      </c>
      <c r="D961" t="s">
        <v>11</v>
      </c>
      <c r="E961" t="s">
        <v>1497</v>
      </c>
      <c r="F961" t="s">
        <v>1496</v>
      </c>
      <c r="G961">
        <v>37</v>
      </c>
      <c r="H961">
        <v>3</v>
      </c>
      <c r="I961">
        <v>3</v>
      </c>
      <c r="J961" t="s">
        <v>1474</v>
      </c>
      <c r="K961" t="s">
        <v>1475</v>
      </c>
      <c r="L961">
        <v>3</v>
      </c>
      <c r="M961" t="s">
        <v>12</v>
      </c>
      <c r="N961">
        <v>1</v>
      </c>
      <c r="O961" t="s">
        <v>13</v>
      </c>
      <c r="P961">
        <v>9</v>
      </c>
      <c r="Q961" s="4">
        <v>45911</v>
      </c>
      <c r="R961" s="4"/>
      <c r="S961" t="str">
        <f>TEXT(Table1[[#This Row],[Hiring Date]],"mmmm")</f>
        <v>September</v>
      </c>
      <c r="T961" s="1">
        <f>COUNTIF(S:S,Table1[[#This Row],[Months List]])</f>
        <v>0</v>
      </c>
      <c r="U961" t="str">
        <f>TEXT(Table1[[#This Row],[Hiring Date]],"dddd")</f>
        <v>Thursday</v>
      </c>
      <c r="V961" s="1" t="str">
        <f>TEXT(Table1[[#This Row],[Hiring Date]],"yyyy")</f>
        <v>2025</v>
      </c>
    </row>
    <row r="962" spans="1:22">
      <c r="A962" t="s">
        <v>547</v>
      </c>
      <c r="B962">
        <v>38</v>
      </c>
      <c r="C962">
        <v>827</v>
      </c>
      <c r="D962" t="s">
        <v>14</v>
      </c>
      <c r="E962" t="s">
        <v>1497</v>
      </c>
      <c r="F962" t="s">
        <v>1499</v>
      </c>
      <c r="G962">
        <v>33</v>
      </c>
      <c r="H962">
        <v>4</v>
      </c>
      <c r="I962">
        <v>2</v>
      </c>
      <c r="J962" t="s">
        <v>1478</v>
      </c>
      <c r="K962" t="s">
        <v>1479</v>
      </c>
      <c r="L962">
        <v>4</v>
      </c>
      <c r="M962" t="s">
        <v>12</v>
      </c>
      <c r="N962">
        <v>0</v>
      </c>
      <c r="O962" t="s">
        <v>13</v>
      </c>
      <c r="P962">
        <v>10</v>
      </c>
      <c r="Q962" s="4">
        <v>45866</v>
      </c>
      <c r="R962" s="4"/>
      <c r="S962" t="str">
        <f>TEXT(Table1[[#This Row],[Hiring Date]],"mmmm")</f>
        <v>July</v>
      </c>
      <c r="T962" s="1">
        <f>COUNTIF(S:S,Table1[[#This Row],[Months List]])</f>
        <v>0</v>
      </c>
      <c r="U962" t="str">
        <f>TEXT(Table1[[#This Row],[Hiring Date]],"dddd")</f>
        <v>Monday</v>
      </c>
      <c r="V962" s="1" t="str">
        <f>TEXT(Table1[[#This Row],[Hiring Date]],"yyyy")</f>
        <v>2025</v>
      </c>
    </row>
    <row r="963" spans="1:22">
      <c r="A963" t="s">
        <v>548</v>
      </c>
      <c r="B963">
        <v>27</v>
      </c>
      <c r="C963">
        <v>608</v>
      </c>
      <c r="D963" t="s">
        <v>14</v>
      </c>
      <c r="E963" t="s">
        <v>1497</v>
      </c>
      <c r="F963" t="s">
        <v>1499</v>
      </c>
      <c r="G963">
        <v>68</v>
      </c>
      <c r="H963">
        <v>3</v>
      </c>
      <c r="I963">
        <v>3</v>
      </c>
      <c r="J963" t="s">
        <v>1480</v>
      </c>
      <c r="K963" t="s">
        <v>1481</v>
      </c>
      <c r="L963">
        <v>1</v>
      </c>
      <c r="M963" t="s">
        <v>15</v>
      </c>
      <c r="N963">
        <v>1</v>
      </c>
      <c r="O963" t="s">
        <v>13</v>
      </c>
      <c r="P963">
        <v>9</v>
      </c>
      <c r="Q963" s="4">
        <v>45836</v>
      </c>
      <c r="R963" s="4"/>
      <c r="S963" t="str">
        <f>TEXT(Table1[[#This Row],[Hiring Date]],"mmmm")</f>
        <v>June</v>
      </c>
      <c r="T963" s="1">
        <f>COUNTIF(S:S,Table1[[#This Row],[Months List]])</f>
        <v>0</v>
      </c>
      <c r="U963" t="str">
        <f>TEXT(Table1[[#This Row],[Hiring Date]],"dddd")</f>
        <v>Saturday</v>
      </c>
      <c r="V963" s="1" t="str">
        <f>TEXT(Table1[[#This Row],[Hiring Date]],"yyyy")</f>
        <v>2025</v>
      </c>
    </row>
    <row r="964" spans="1:22">
      <c r="A964" t="s">
        <v>549</v>
      </c>
      <c r="B964">
        <v>32</v>
      </c>
      <c r="C964">
        <v>1018</v>
      </c>
      <c r="D964" t="s">
        <v>14</v>
      </c>
      <c r="E964" t="s">
        <v>1497</v>
      </c>
      <c r="F964" t="s">
        <v>1499</v>
      </c>
      <c r="G964">
        <v>39</v>
      </c>
      <c r="H964">
        <v>3</v>
      </c>
      <c r="I964">
        <v>3</v>
      </c>
      <c r="J964" t="s">
        <v>1487</v>
      </c>
      <c r="K964" t="s">
        <v>1488</v>
      </c>
      <c r="L964">
        <v>4</v>
      </c>
      <c r="M964" t="s">
        <v>12</v>
      </c>
      <c r="N964">
        <v>3</v>
      </c>
      <c r="O964" t="s">
        <v>13</v>
      </c>
      <c r="P964">
        <v>10</v>
      </c>
      <c r="Q964" s="4">
        <v>45697</v>
      </c>
      <c r="R964" s="4"/>
      <c r="S964" t="str">
        <f>TEXT(Table1[[#This Row],[Hiring Date]],"mmmm")</f>
        <v>February</v>
      </c>
      <c r="T964" s="1">
        <f>COUNTIF(S:S,Table1[[#This Row],[Months List]])</f>
        <v>0</v>
      </c>
      <c r="U964" t="str">
        <f>TEXT(Table1[[#This Row],[Hiring Date]],"dddd")</f>
        <v>Sunday</v>
      </c>
      <c r="V964" s="1" t="str">
        <f>TEXT(Table1[[#This Row],[Hiring Date]],"yyyy")</f>
        <v>2025</v>
      </c>
    </row>
    <row r="965" spans="1:22">
      <c r="A965" t="s">
        <v>550</v>
      </c>
      <c r="B965">
        <v>47</v>
      </c>
      <c r="C965">
        <v>703</v>
      </c>
      <c r="D965" t="s">
        <v>11</v>
      </c>
      <c r="E965" t="s">
        <v>1498</v>
      </c>
      <c r="F965" t="s">
        <v>1496</v>
      </c>
      <c r="G965">
        <v>42</v>
      </c>
      <c r="H965">
        <v>3</v>
      </c>
      <c r="I965">
        <v>2</v>
      </c>
      <c r="J965" t="s">
        <v>1474</v>
      </c>
      <c r="K965" t="s">
        <v>1475</v>
      </c>
      <c r="L965">
        <v>1</v>
      </c>
      <c r="M965" t="s">
        <v>12</v>
      </c>
      <c r="N965">
        <v>2</v>
      </c>
      <c r="O965" t="s">
        <v>13</v>
      </c>
      <c r="P965">
        <v>20</v>
      </c>
      <c r="Q965" s="4">
        <v>45991</v>
      </c>
      <c r="R965" s="4"/>
      <c r="S965" t="str">
        <f>TEXT(Table1[[#This Row],[Hiring Date]],"mmmm")</f>
        <v>November</v>
      </c>
      <c r="T965" s="1">
        <f>COUNTIF(S:S,Table1[[#This Row],[Months List]])</f>
        <v>0</v>
      </c>
      <c r="U965" t="str">
        <f>TEXT(Table1[[#This Row],[Hiring Date]],"dddd")</f>
        <v>Sunday</v>
      </c>
      <c r="V965" s="1" t="str">
        <f>TEXT(Table1[[#This Row],[Hiring Date]],"yyyy")</f>
        <v>2025</v>
      </c>
    </row>
    <row r="966" spans="1:22">
      <c r="A966" t="s">
        <v>551</v>
      </c>
      <c r="B966">
        <v>40</v>
      </c>
      <c r="C966">
        <v>580</v>
      </c>
      <c r="D966" t="s">
        <v>11</v>
      </c>
      <c r="E966" t="s">
        <v>1497</v>
      </c>
      <c r="F966" t="s">
        <v>1496</v>
      </c>
      <c r="G966">
        <v>48</v>
      </c>
      <c r="H966">
        <v>2</v>
      </c>
      <c r="I966">
        <v>3</v>
      </c>
      <c r="J966" t="s">
        <v>1474</v>
      </c>
      <c r="K966" t="s">
        <v>1475</v>
      </c>
      <c r="L966">
        <v>1</v>
      </c>
      <c r="M966" t="s">
        <v>15</v>
      </c>
      <c r="N966">
        <v>5</v>
      </c>
      <c r="O966" t="s">
        <v>10</v>
      </c>
      <c r="P966">
        <v>20</v>
      </c>
      <c r="Q966" s="4">
        <v>45717</v>
      </c>
      <c r="R966" s="4"/>
      <c r="S966" t="str">
        <f>TEXT(Table1[[#This Row],[Hiring Date]],"mmmm")</f>
        <v>March</v>
      </c>
      <c r="T966" s="1">
        <f>COUNTIF(S:S,Table1[[#This Row],[Months List]])</f>
        <v>0</v>
      </c>
      <c r="U966" t="str">
        <f>TEXT(Table1[[#This Row],[Hiring Date]],"dddd")</f>
        <v>Saturday</v>
      </c>
      <c r="V966" s="1" t="str">
        <f>TEXT(Table1[[#This Row],[Hiring Date]],"yyyy")</f>
        <v>2025</v>
      </c>
    </row>
    <row r="967" spans="1:22">
      <c r="A967" t="s">
        <v>552</v>
      </c>
      <c r="B967">
        <v>53</v>
      </c>
      <c r="C967">
        <v>970</v>
      </c>
      <c r="D967" t="s">
        <v>14</v>
      </c>
      <c r="E967" t="s">
        <v>1497</v>
      </c>
      <c r="F967" t="s">
        <v>1496</v>
      </c>
      <c r="G967">
        <v>59</v>
      </c>
      <c r="H967">
        <v>4</v>
      </c>
      <c r="I967">
        <v>4</v>
      </c>
      <c r="J967" t="s">
        <v>1487</v>
      </c>
      <c r="K967" t="s">
        <v>1488</v>
      </c>
      <c r="L967">
        <v>3</v>
      </c>
      <c r="M967" t="s">
        <v>15</v>
      </c>
      <c r="N967">
        <v>3</v>
      </c>
      <c r="O967" t="s">
        <v>13</v>
      </c>
      <c r="P967">
        <v>32</v>
      </c>
      <c r="Q967" s="4">
        <v>45739</v>
      </c>
      <c r="R967" s="4"/>
      <c r="S967" t="str">
        <f>TEXT(Table1[[#This Row],[Hiring Date]],"mmmm")</f>
        <v>March</v>
      </c>
      <c r="T967" s="1">
        <f>COUNTIF(S:S,Table1[[#This Row],[Months List]])</f>
        <v>0</v>
      </c>
      <c r="U967" t="str">
        <f>TEXT(Table1[[#This Row],[Hiring Date]],"dddd")</f>
        <v>Sunday</v>
      </c>
      <c r="V967" s="1" t="str">
        <f>TEXT(Table1[[#This Row],[Hiring Date]],"yyyy")</f>
        <v>2025</v>
      </c>
    </row>
    <row r="968" spans="1:22">
      <c r="A968" t="s">
        <v>553</v>
      </c>
      <c r="B968">
        <v>41</v>
      </c>
      <c r="C968">
        <v>427</v>
      </c>
      <c r="D968" t="s">
        <v>17</v>
      </c>
      <c r="E968" t="s">
        <v>17</v>
      </c>
      <c r="F968" t="s">
        <v>1496</v>
      </c>
      <c r="G968">
        <v>73</v>
      </c>
      <c r="H968">
        <v>2</v>
      </c>
      <c r="I968">
        <v>5</v>
      </c>
      <c r="J968" t="s">
        <v>1482</v>
      </c>
      <c r="K968" t="s">
        <v>1483</v>
      </c>
      <c r="L968">
        <v>4</v>
      </c>
      <c r="M968" t="s">
        <v>16</v>
      </c>
      <c r="N968">
        <v>3</v>
      </c>
      <c r="O968" t="s">
        <v>13</v>
      </c>
      <c r="P968">
        <v>23</v>
      </c>
      <c r="Q968" s="4">
        <v>45920</v>
      </c>
      <c r="R968" s="4"/>
      <c r="S968" t="str">
        <f>TEXT(Table1[[#This Row],[Hiring Date]],"mmmm")</f>
        <v>September</v>
      </c>
      <c r="T968" s="1">
        <f>COUNTIF(S:S,Table1[[#This Row],[Months List]])</f>
        <v>0</v>
      </c>
      <c r="U968" t="str">
        <f>TEXT(Table1[[#This Row],[Hiring Date]],"dddd")</f>
        <v>Saturday</v>
      </c>
      <c r="V968" s="1" t="str">
        <f>TEXT(Table1[[#This Row],[Hiring Date]],"yyyy")</f>
        <v>2025</v>
      </c>
    </row>
    <row r="969" spans="1:22">
      <c r="A969" t="s">
        <v>554</v>
      </c>
      <c r="B969">
        <v>60</v>
      </c>
      <c r="C969">
        <v>1179</v>
      </c>
      <c r="D969" t="s">
        <v>11</v>
      </c>
      <c r="E969" t="s">
        <v>1498</v>
      </c>
      <c r="F969" t="s">
        <v>1496</v>
      </c>
      <c r="G969">
        <v>84</v>
      </c>
      <c r="H969">
        <v>3</v>
      </c>
      <c r="I969">
        <v>2</v>
      </c>
      <c r="J969" t="s">
        <v>1474</v>
      </c>
      <c r="K969" t="s">
        <v>1475</v>
      </c>
      <c r="L969">
        <v>1</v>
      </c>
      <c r="M969" t="s">
        <v>12</v>
      </c>
      <c r="N969">
        <v>8</v>
      </c>
      <c r="O969" t="s">
        <v>13</v>
      </c>
      <c r="P969">
        <v>10</v>
      </c>
      <c r="Q969" s="4">
        <v>45727</v>
      </c>
      <c r="R969" s="4"/>
      <c r="S969" t="str">
        <f>TEXT(Table1[[#This Row],[Hiring Date]],"mmmm")</f>
        <v>March</v>
      </c>
      <c r="T969" s="1">
        <f>COUNTIF(S:S,Table1[[#This Row],[Months List]])</f>
        <v>0</v>
      </c>
      <c r="U969" t="str">
        <f>TEXT(Table1[[#This Row],[Hiring Date]],"dddd")</f>
        <v>Tuesday</v>
      </c>
      <c r="V969" s="1" t="str">
        <f>TEXT(Table1[[#This Row],[Hiring Date]],"yyyy")</f>
        <v>2025</v>
      </c>
    </row>
    <row r="970" spans="1:22">
      <c r="A970" t="s">
        <v>555</v>
      </c>
      <c r="B970">
        <v>27</v>
      </c>
      <c r="C970">
        <v>294</v>
      </c>
      <c r="D970" t="s">
        <v>14</v>
      </c>
      <c r="E970" t="s">
        <v>1497</v>
      </c>
      <c r="F970" t="s">
        <v>1496</v>
      </c>
      <c r="G970">
        <v>32</v>
      </c>
      <c r="H970">
        <v>3</v>
      </c>
      <c r="I970">
        <v>3</v>
      </c>
      <c r="J970" t="s">
        <v>1480</v>
      </c>
      <c r="K970" t="s">
        <v>1481</v>
      </c>
      <c r="L970">
        <v>1</v>
      </c>
      <c r="M970" t="s">
        <v>16</v>
      </c>
      <c r="N970">
        <v>1</v>
      </c>
      <c r="O970" t="s">
        <v>13</v>
      </c>
      <c r="P970">
        <v>9</v>
      </c>
      <c r="Q970" s="4">
        <v>45732</v>
      </c>
      <c r="R970" s="4"/>
      <c r="S970" t="str">
        <f>TEXT(Table1[[#This Row],[Hiring Date]],"mmmm")</f>
        <v>March</v>
      </c>
      <c r="T970" s="1">
        <f>COUNTIF(S:S,Table1[[#This Row],[Months List]])</f>
        <v>0</v>
      </c>
      <c r="U970" t="str">
        <f>TEXT(Table1[[#This Row],[Hiring Date]],"dddd")</f>
        <v>Sunday</v>
      </c>
      <c r="V970" s="1" t="str">
        <f>TEXT(Table1[[#This Row],[Hiring Date]],"yyyy")</f>
        <v>2025</v>
      </c>
    </row>
    <row r="971" spans="1:22">
      <c r="A971" t="s">
        <v>556</v>
      </c>
      <c r="B971">
        <v>41</v>
      </c>
      <c r="C971">
        <v>314</v>
      </c>
      <c r="D971" t="s">
        <v>17</v>
      </c>
      <c r="E971" t="s">
        <v>17</v>
      </c>
      <c r="F971" t="s">
        <v>1496</v>
      </c>
      <c r="G971">
        <v>59</v>
      </c>
      <c r="H971">
        <v>2</v>
      </c>
      <c r="I971">
        <v>5</v>
      </c>
      <c r="J971" t="s">
        <v>1482</v>
      </c>
      <c r="K971" t="s">
        <v>1483</v>
      </c>
      <c r="L971">
        <v>3</v>
      </c>
      <c r="M971" t="s">
        <v>15</v>
      </c>
      <c r="N971">
        <v>1</v>
      </c>
      <c r="O971" t="s">
        <v>13</v>
      </c>
      <c r="P971">
        <v>22</v>
      </c>
      <c r="Q971" s="4">
        <v>45816</v>
      </c>
      <c r="R971" s="4"/>
      <c r="S971" t="str">
        <f>TEXT(Table1[[#This Row],[Hiring Date]],"mmmm")</f>
        <v>June</v>
      </c>
      <c r="T971" s="1">
        <f>COUNTIF(S:S,Table1[[#This Row],[Months List]])</f>
        <v>0</v>
      </c>
      <c r="U971" t="str">
        <f>TEXT(Table1[[#This Row],[Hiring Date]],"dddd")</f>
        <v>Sunday</v>
      </c>
      <c r="V971" s="1" t="str">
        <f>TEXT(Table1[[#This Row],[Hiring Date]],"yyyy")</f>
        <v>2025</v>
      </c>
    </row>
    <row r="972" spans="1:22">
      <c r="A972" t="s">
        <v>62</v>
      </c>
      <c r="B972">
        <v>30</v>
      </c>
      <c r="C972">
        <v>721</v>
      </c>
      <c r="D972" t="s">
        <v>14</v>
      </c>
      <c r="E972" t="s">
        <v>1495</v>
      </c>
      <c r="F972" t="s">
        <v>1499</v>
      </c>
      <c r="G972">
        <v>58</v>
      </c>
      <c r="H972">
        <v>3</v>
      </c>
      <c r="I972">
        <v>2</v>
      </c>
      <c r="J972" t="s">
        <v>1484</v>
      </c>
      <c r="K972" t="s">
        <v>1485</v>
      </c>
      <c r="L972">
        <v>4</v>
      </c>
      <c r="M972" t="s">
        <v>12</v>
      </c>
      <c r="N972">
        <v>1</v>
      </c>
      <c r="O972" t="s">
        <v>13</v>
      </c>
      <c r="P972">
        <v>12</v>
      </c>
      <c r="Q972" s="4">
        <v>45869</v>
      </c>
      <c r="R972" s="4"/>
      <c r="S972" t="str">
        <f>TEXT(Table1[[#This Row],[Hiring Date]],"mmmm")</f>
        <v>July</v>
      </c>
      <c r="T972" s="1">
        <f>COUNTIF(S:S,Table1[[#This Row],[Months List]])</f>
        <v>0</v>
      </c>
      <c r="U972" t="str">
        <f>TEXT(Table1[[#This Row],[Hiring Date]],"dddd")</f>
        <v>Thursday</v>
      </c>
      <c r="V972" s="1" t="str">
        <f>TEXT(Table1[[#This Row],[Hiring Date]],"yyyy")</f>
        <v>2025</v>
      </c>
    </row>
    <row r="973" spans="1:22">
      <c r="A973" t="s">
        <v>557</v>
      </c>
      <c r="B973">
        <v>50</v>
      </c>
      <c r="C973">
        <v>316</v>
      </c>
      <c r="D973" t="s">
        <v>11</v>
      </c>
      <c r="E973" t="s">
        <v>1498</v>
      </c>
      <c r="F973" t="s">
        <v>1496</v>
      </c>
      <c r="G973">
        <v>54</v>
      </c>
      <c r="H973">
        <v>3</v>
      </c>
      <c r="I973">
        <v>1</v>
      </c>
      <c r="J973" t="s">
        <v>1489</v>
      </c>
      <c r="K973" t="s">
        <v>1490</v>
      </c>
      <c r="L973">
        <v>2</v>
      </c>
      <c r="M973" t="s">
        <v>15</v>
      </c>
      <c r="N973">
        <v>7</v>
      </c>
      <c r="O973" t="s">
        <v>13</v>
      </c>
      <c r="P973">
        <v>4</v>
      </c>
      <c r="Q973" s="4">
        <v>45755</v>
      </c>
      <c r="R973" s="4"/>
      <c r="S973" t="str">
        <f>TEXT(Table1[[#This Row],[Hiring Date]],"mmmm")</f>
        <v>April</v>
      </c>
      <c r="T973" s="1">
        <f>COUNTIF(S:S,Table1[[#This Row],[Months List]])</f>
        <v>0</v>
      </c>
      <c r="U973" t="str">
        <f>TEXT(Table1[[#This Row],[Hiring Date]],"dddd")</f>
        <v>Tuesday</v>
      </c>
      <c r="V973" s="1" t="str">
        <f>TEXT(Table1[[#This Row],[Hiring Date]],"yyyy")</f>
        <v>2025</v>
      </c>
    </row>
    <row r="974" spans="1:22">
      <c r="A974" t="s">
        <v>558</v>
      </c>
      <c r="B974">
        <v>28</v>
      </c>
      <c r="C974">
        <v>654</v>
      </c>
      <c r="D974" t="s">
        <v>14</v>
      </c>
      <c r="E974" t="s">
        <v>1497</v>
      </c>
      <c r="F974" t="s">
        <v>1499</v>
      </c>
      <c r="G974">
        <v>67</v>
      </c>
      <c r="H974">
        <v>1</v>
      </c>
      <c r="I974">
        <v>1</v>
      </c>
      <c r="J974" t="s">
        <v>1476</v>
      </c>
      <c r="K974" t="s">
        <v>1477</v>
      </c>
      <c r="L974">
        <v>2</v>
      </c>
      <c r="M974" t="s">
        <v>12</v>
      </c>
      <c r="N974">
        <v>7</v>
      </c>
      <c r="O974" t="s">
        <v>10</v>
      </c>
      <c r="P974">
        <v>10</v>
      </c>
      <c r="Q974" s="4">
        <v>45683</v>
      </c>
      <c r="R974" s="4"/>
      <c r="S974" t="str">
        <f>TEXT(Table1[[#This Row],[Hiring Date]],"mmmm")</f>
        <v>January</v>
      </c>
      <c r="T974" s="1">
        <f>COUNTIF(S:S,Table1[[#This Row],[Months List]])</f>
        <v>0</v>
      </c>
      <c r="U974" t="str">
        <f>TEXT(Table1[[#This Row],[Hiring Date]],"dddd")</f>
        <v>Sunday</v>
      </c>
      <c r="V974" s="1" t="str">
        <f>TEXT(Table1[[#This Row],[Hiring Date]],"yyyy")</f>
        <v>2025</v>
      </c>
    </row>
    <row r="975" spans="1:22">
      <c r="A975" t="s">
        <v>559</v>
      </c>
      <c r="B975">
        <v>36</v>
      </c>
      <c r="C975">
        <v>427</v>
      </c>
      <c r="D975" t="s">
        <v>14</v>
      </c>
      <c r="E975" t="s">
        <v>1497</v>
      </c>
      <c r="F975" t="s">
        <v>1499</v>
      </c>
      <c r="G975">
        <v>63</v>
      </c>
      <c r="H975">
        <v>4</v>
      </c>
      <c r="I975">
        <v>3</v>
      </c>
      <c r="J975" t="s">
        <v>1487</v>
      </c>
      <c r="K975" t="s">
        <v>1488</v>
      </c>
      <c r="L975">
        <v>1</v>
      </c>
      <c r="M975" t="s">
        <v>15</v>
      </c>
      <c r="N975">
        <v>9</v>
      </c>
      <c r="O975" t="s">
        <v>13</v>
      </c>
      <c r="P975">
        <v>10</v>
      </c>
      <c r="Q975" s="4">
        <v>45973</v>
      </c>
      <c r="R975" s="4"/>
      <c r="S975" t="str">
        <f>TEXT(Table1[[#This Row],[Hiring Date]],"mmmm")</f>
        <v>November</v>
      </c>
      <c r="T975" s="1">
        <f>COUNTIF(S:S,Table1[[#This Row],[Months List]])</f>
        <v>0</v>
      </c>
      <c r="U975" t="str">
        <f>TEXT(Table1[[#This Row],[Hiring Date]],"dddd")</f>
        <v>Wednesday</v>
      </c>
      <c r="V975" s="1" t="str">
        <f>TEXT(Table1[[#This Row],[Hiring Date]],"yyyy")</f>
        <v>2025</v>
      </c>
    </row>
    <row r="976" spans="1:22">
      <c r="A976" t="s">
        <v>560</v>
      </c>
      <c r="B976">
        <v>38</v>
      </c>
      <c r="C976">
        <v>168</v>
      </c>
      <c r="D976" t="s">
        <v>14</v>
      </c>
      <c r="E976" t="s">
        <v>1497</v>
      </c>
      <c r="F976" t="s">
        <v>1499</v>
      </c>
      <c r="G976">
        <v>81</v>
      </c>
      <c r="H976">
        <v>3</v>
      </c>
      <c r="I976">
        <v>3</v>
      </c>
      <c r="J976" t="s">
        <v>1480</v>
      </c>
      <c r="K976" t="s">
        <v>1481</v>
      </c>
      <c r="L976">
        <v>3</v>
      </c>
      <c r="M976" t="s">
        <v>12</v>
      </c>
      <c r="N976">
        <v>4</v>
      </c>
      <c r="O976" t="s">
        <v>10</v>
      </c>
      <c r="P976">
        <v>10</v>
      </c>
      <c r="Q976" s="4">
        <v>45950</v>
      </c>
      <c r="R976" s="4"/>
      <c r="S976" t="str">
        <f>TEXT(Table1[[#This Row],[Hiring Date]],"mmmm")</f>
        <v>October</v>
      </c>
      <c r="T976" s="1">
        <f>COUNTIF(S:S,Table1[[#This Row],[Months List]])</f>
        <v>0</v>
      </c>
      <c r="U976" t="str">
        <f>TEXT(Table1[[#This Row],[Hiring Date]],"dddd")</f>
        <v>Monday</v>
      </c>
      <c r="V976" s="1" t="str">
        <f>TEXT(Table1[[#This Row],[Hiring Date]],"yyyy")</f>
        <v>2025</v>
      </c>
    </row>
    <row r="977" spans="1:22">
      <c r="A977" t="s">
        <v>561</v>
      </c>
      <c r="B977">
        <v>44</v>
      </c>
      <c r="C977">
        <v>381</v>
      </c>
      <c r="D977" t="s">
        <v>14</v>
      </c>
      <c r="E977" t="s">
        <v>1495</v>
      </c>
      <c r="F977" t="s">
        <v>1496</v>
      </c>
      <c r="G977">
        <v>49</v>
      </c>
      <c r="H977">
        <v>1</v>
      </c>
      <c r="I977">
        <v>1</v>
      </c>
      <c r="J977" t="s">
        <v>1484</v>
      </c>
      <c r="K977" t="s">
        <v>1485</v>
      </c>
      <c r="L977">
        <v>3</v>
      </c>
      <c r="M977" t="s">
        <v>12</v>
      </c>
      <c r="N977">
        <v>2</v>
      </c>
      <c r="O977" t="s">
        <v>13</v>
      </c>
      <c r="P977">
        <v>9</v>
      </c>
      <c r="Q977" s="4">
        <v>45942</v>
      </c>
      <c r="R977" s="4"/>
      <c r="S977" t="str">
        <f>TEXT(Table1[[#This Row],[Hiring Date]],"mmmm")</f>
        <v>October</v>
      </c>
      <c r="T977" s="1">
        <f>COUNTIF(S:S,Table1[[#This Row],[Months List]])</f>
        <v>0</v>
      </c>
      <c r="U977" t="str">
        <f>TEXT(Table1[[#This Row],[Hiring Date]],"dddd")</f>
        <v>Sunday</v>
      </c>
      <c r="V977" s="1" t="str">
        <f>TEXT(Table1[[#This Row],[Hiring Date]],"yyyy")</f>
        <v>2025</v>
      </c>
    </row>
    <row r="978" spans="1:22">
      <c r="A978" t="s">
        <v>562</v>
      </c>
      <c r="B978">
        <v>47</v>
      </c>
      <c r="C978">
        <v>217</v>
      </c>
      <c r="D978" t="s">
        <v>11</v>
      </c>
      <c r="E978" t="s">
        <v>1495</v>
      </c>
      <c r="F978" t="s">
        <v>1499</v>
      </c>
      <c r="G978">
        <v>49</v>
      </c>
      <c r="H978">
        <v>3</v>
      </c>
      <c r="I978">
        <v>4</v>
      </c>
      <c r="J978" t="s">
        <v>1474</v>
      </c>
      <c r="K978" t="s">
        <v>1475</v>
      </c>
      <c r="L978">
        <v>3</v>
      </c>
      <c r="M978" t="s">
        <v>16</v>
      </c>
      <c r="N978">
        <v>9</v>
      </c>
      <c r="O978" t="s">
        <v>10</v>
      </c>
      <c r="P978">
        <v>28</v>
      </c>
      <c r="Q978" s="4">
        <v>45828</v>
      </c>
      <c r="R978" s="4"/>
      <c r="S978" t="str">
        <f>TEXT(Table1[[#This Row],[Hiring Date]],"mmmm")</f>
        <v>June</v>
      </c>
      <c r="T978" s="1">
        <f>COUNTIF(S:S,Table1[[#This Row],[Months List]])</f>
        <v>0</v>
      </c>
      <c r="U978" t="str">
        <f>TEXT(Table1[[#This Row],[Hiring Date]],"dddd")</f>
        <v>Friday</v>
      </c>
      <c r="V978" s="1" t="str">
        <f>TEXT(Table1[[#This Row],[Hiring Date]],"yyyy")</f>
        <v>2025</v>
      </c>
    </row>
    <row r="979" spans="1:22">
      <c r="A979" t="s">
        <v>563</v>
      </c>
      <c r="B979">
        <v>30</v>
      </c>
      <c r="C979">
        <v>501</v>
      </c>
      <c r="D979" t="s">
        <v>11</v>
      </c>
      <c r="E979" t="s">
        <v>1498</v>
      </c>
      <c r="F979" t="s">
        <v>1496</v>
      </c>
      <c r="G979">
        <v>99</v>
      </c>
      <c r="H979">
        <v>3</v>
      </c>
      <c r="I979">
        <v>2</v>
      </c>
      <c r="J979" t="s">
        <v>1474</v>
      </c>
      <c r="K979" t="s">
        <v>1475</v>
      </c>
      <c r="L979">
        <v>4</v>
      </c>
      <c r="M979" t="s">
        <v>16</v>
      </c>
      <c r="N979">
        <v>7</v>
      </c>
      <c r="O979" t="s">
        <v>13</v>
      </c>
      <c r="P979">
        <v>10</v>
      </c>
      <c r="Q979" s="4">
        <v>45826</v>
      </c>
      <c r="R979" s="4"/>
      <c r="S979" t="str">
        <f>TEXT(Table1[[#This Row],[Hiring Date]],"mmmm")</f>
        <v>June</v>
      </c>
      <c r="T979" s="1">
        <f>COUNTIF(S:S,Table1[[#This Row],[Months List]])</f>
        <v>0</v>
      </c>
      <c r="U979" t="str">
        <f>TEXT(Table1[[#This Row],[Hiring Date]],"dddd")</f>
        <v>Wednesday</v>
      </c>
      <c r="V979" s="1" t="str">
        <f>TEXT(Table1[[#This Row],[Hiring Date]],"yyyy")</f>
        <v>2025</v>
      </c>
    </row>
    <row r="980" spans="1:22">
      <c r="A980" t="s">
        <v>564</v>
      </c>
      <c r="B980">
        <v>29</v>
      </c>
      <c r="C980">
        <v>1396</v>
      </c>
      <c r="D980" t="s">
        <v>11</v>
      </c>
      <c r="E980" t="s">
        <v>1497</v>
      </c>
      <c r="F980" t="s">
        <v>1496</v>
      </c>
      <c r="G980">
        <v>99</v>
      </c>
      <c r="H980">
        <v>3</v>
      </c>
      <c r="I980">
        <v>1</v>
      </c>
      <c r="J980" t="s">
        <v>1489</v>
      </c>
      <c r="K980" t="s">
        <v>1490</v>
      </c>
      <c r="L980">
        <v>3</v>
      </c>
      <c r="M980" t="s">
        <v>12</v>
      </c>
      <c r="N980">
        <v>1</v>
      </c>
      <c r="O980" t="s">
        <v>13</v>
      </c>
      <c r="P980">
        <v>1</v>
      </c>
      <c r="Q980" s="4">
        <v>45849</v>
      </c>
      <c r="R980" s="4"/>
      <c r="S980" t="str">
        <f>TEXT(Table1[[#This Row],[Hiring Date]],"mmmm")</f>
        <v>July</v>
      </c>
      <c r="T980" s="1">
        <f>COUNTIF(S:S,Table1[[#This Row],[Months List]])</f>
        <v>0</v>
      </c>
      <c r="U980" t="str">
        <f>TEXT(Table1[[#This Row],[Hiring Date]],"dddd")</f>
        <v>Friday</v>
      </c>
      <c r="V980" s="1" t="str">
        <f>TEXT(Table1[[#This Row],[Hiring Date]],"yyyy")</f>
        <v>2025</v>
      </c>
    </row>
    <row r="981" spans="1:22">
      <c r="A981" t="s">
        <v>565</v>
      </c>
      <c r="B981">
        <v>42</v>
      </c>
      <c r="C981">
        <v>933</v>
      </c>
      <c r="D981" t="s">
        <v>14</v>
      </c>
      <c r="E981" t="s">
        <v>1495</v>
      </c>
      <c r="F981" t="s">
        <v>1496</v>
      </c>
      <c r="G981">
        <v>57</v>
      </c>
      <c r="H981">
        <v>4</v>
      </c>
      <c r="I981">
        <v>1</v>
      </c>
      <c r="J981" t="s">
        <v>1476</v>
      </c>
      <c r="K981" t="s">
        <v>1477</v>
      </c>
      <c r="L981">
        <v>3</v>
      </c>
      <c r="M981" t="s">
        <v>16</v>
      </c>
      <c r="N981">
        <v>6</v>
      </c>
      <c r="O981" t="s">
        <v>10</v>
      </c>
      <c r="P981">
        <v>7</v>
      </c>
      <c r="Q981" s="4">
        <v>45899</v>
      </c>
      <c r="R981" s="4"/>
      <c r="S981" t="str">
        <f>TEXT(Table1[[#This Row],[Hiring Date]],"mmmm")</f>
        <v>August</v>
      </c>
      <c r="T981" s="1">
        <f>COUNTIF(S:S,Table1[[#This Row],[Months List]])</f>
        <v>0</v>
      </c>
      <c r="U981" t="str">
        <f>TEXT(Table1[[#This Row],[Hiring Date]],"dddd")</f>
        <v>Saturday</v>
      </c>
      <c r="V981" s="1" t="str">
        <f>TEXT(Table1[[#This Row],[Hiring Date]],"yyyy")</f>
        <v>2025</v>
      </c>
    </row>
    <row r="982" spans="1:22">
      <c r="A982" t="s">
        <v>566</v>
      </c>
      <c r="B982">
        <v>43</v>
      </c>
      <c r="C982">
        <v>775</v>
      </c>
      <c r="D982" t="s">
        <v>11</v>
      </c>
      <c r="E982" t="s">
        <v>1497</v>
      </c>
      <c r="F982" t="s">
        <v>1496</v>
      </c>
      <c r="G982">
        <v>47</v>
      </c>
      <c r="H982">
        <v>2</v>
      </c>
      <c r="I982">
        <v>2</v>
      </c>
      <c r="J982" t="s">
        <v>1474</v>
      </c>
      <c r="K982" t="s">
        <v>1475</v>
      </c>
      <c r="L982">
        <v>4</v>
      </c>
      <c r="M982" t="s">
        <v>15</v>
      </c>
      <c r="N982">
        <v>3</v>
      </c>
      <c r="O982" t="s">
        <v>13</v>
      </c>
      <c r="P982">
        <v>7</v>
      </c>
      <c r="Q982" s="4">
        <v>45688</v>
      </c>
      <c r="R982" s="4"/>
      <c r="S982" t="str">
        <f>TEXT(Table1[[#This Row],[Hiring Date]],"mmmm")</f>
        <v>January</v>
      </c>
      <c r="T982" s="1">
        <f>COUNTIF(S:S,Table1[[#This Row],[Months List]])</f>
        <v>0</v>
      </c>
      <c r="U982" t="str">
        <f>TEXT(Table1[[#This Row],[Hiring Date]],"dddd")</f>
        <v>Friday</v>
      </c>
      <c r="V982" s="1" t="str">
        <f>TEXT(Table1[[#This Row],[Hiring Date]],"yyyy")</f>
        <v>2025</v>
      </c>
    </row>
    <row r="983" spans="1:22">
      <c r="A983" t="s">
        <v>63</v>
      </c>
      <c r="B983">
        <v>41</v>
      </c>
      <c r="C983">
        <v>1360</v>
      </c>
      <c r="D983" t="s">
        <v>14</v>
      </c>
      <c r="E983" t="s">
        <v>1501</v>
      </c>
      <c r="F983" t="s">
        <v>1499</v>
      </c>
      <c r="G983">
        <v>49</v>
      </c>
      <c r="H983">
        <v>3</v>
      </c>
      <c r="I983">
        <v>5</v>
      </c>
      <c r="J983" t="s">
        <v>1487</v>
      </c>
      <c r="K983" t="s">
        <v>1488</v>
      </c>
      <c r="L983">
        <v>3</v>
      </c>
      <c r="M983" t="s">
        <v>15</v>
      </c>
      <c r="N983">
        <v>1</v>
      </c>
      <c r="O983" t="s">
        <v>13</v>
      </c>
      <c r="P983">
        <v>23</v>
      </c>
      <c r="Q983" s="4">
        <v>45636</v>
      </c>
      <c r="R983" s="4"/>
      <c r="S983" t="str">
        <f>TEXT(Table1[[#This Row],[Hiring Date]],"mmmm")</f>
        <v>December</v>
      </c>
      <c r="T983" s="1">
        <f>COUNTIF(S:S,Table1[[#This Row],[Months List]])</f>
        <v>0</v>
      </c>
      <c r="U983" t="str">
        <f>TEXT(Table1[[#This Row],[Hiring Date]],"dddd")</f>
        <v>Tuesday</v>
      </c>
      <c r="V983" s="1" t="str">
        <f>TEXT(Table1[[#This Row],[Hiring Date]],"yyyy")</f>
        <v>2024</v>
      </c>
    </row>
    <row r="984" spans="1:22">
      <c r="A984" t="s">
        <v>567</v>
      </c>
      <c r="B984">
        <v>34</v>
      </c>
      <c r="C984">
        <v>970</v>
      </c>
      <c r="D984" t="s">
        <v>14</v>
      </c>
      <c r="E984" t="s">
        <v>1495</v>
      </c>
      <c r="F984" t="s">
        <v>1499</v>
      </c>
      <c r="G984">
        <v>96</v>
      </c>
      <c r="H984">
        <v>3</v>
      </c>
      <c r="I984">
        <v>2</v>
      </c>
      <c r="J984" t="s">
        <v>1478</v>
      </c>
      <c r="K984" t="s">
        <v>1479</v>
      </c>
      <c r="L984">
        <v>3</v>
      </c>
      <c r="M984" t="s">
        <v>12</v>
      </c>
      <c r="N984">
        <v>3</v>
      </c>
      <c r="O984" t="s">
        <v>13</v>
      </c>
      <c r="P984">
        <v>10</v>
      </c>
      <c r="Q984" s="4">
        <v>45699</v>
      </c>
      <c r="R984" s="4"/>
      <c r="S984" t="str">
        <f>TEXT(Table1[[#This Row],[Hiring Date]],"mmmm")</f>
        <v>February</v>
      </c>
      <c r="T984" s="1">
        <f>COUNTIF(S:S,Table1[[#This Row],[Months List]])</f>
        <v>0</v>
      </c>
      <c r="U984" t="str">
        <f>TEXT(Table1[[#This Row],[Hiring Date]],"dddd")</f>
        <v>Tuesday</v>
      </c>
      <c r="V984" s="1" t="str">
        <f>TEXT(Table1[[#This Row],[Hiring Date]],"yyyy")</f>
        <v>2025</v>
      </c>
    </row>
    <row r="985" spans="1:22">
      <c r="A985" t="s">
        <v>568</v>
      </c>
      <c r="B985">
        <v>23</v>
      </c>
      <c r="C985">
        <v>650</v>
      </c>
      <c r="D985" t="s">
        <v>14</v>
      </c>
      <c r="E985" t="s">
        <v>1495</v>
      </c>
      <c r="F985" t="s">
        <v>1496</v>
      </c>
      <c r="G985">
        <v>37</v>
      </c>
      <c r="H985">
        <v>3</v>
      </c>
      <c r="I985">
        <v>1</v>
      </c>
      <c r="J985" t="s">
        <v>1484</v>
      </c>
      <c r="K985" t="s">
        <v>1485</v>
      </c>
      <c r="L985">
        <v>1</v>
      </c>
      <c r="M985" t="s">
        <v>15</v>
      </c>
      <c r="N985">
        <v>1</v>
      </c>
      <c r="O985" t="s">
        <v>13</v>
      </c>
      <c r="P985">
        <v>5</v>
      </c>
      <c r="Q985" s="4">
        <v>45895</v>
      </c>
      <c r="R985" s="4"/>
      <c r="S985" t="str">
        <f>TEXT(Table1[[#This Row],[Hiring Date]],"mmmm")</f>
        <v>August</v>
      </c>
      <c r="T985" s="1">
        <f>COUNTIF(S:S,Table1[[#This Row],[Months List]])</f>
        <v>0</v>
      </c>
      <c r="U985" t="str">
        <f>TEXT(Table1[[#This Row],[Hiring Date]],"dddd")</f>
        <v>Tuesday</v>
      </c>
      <c r="V985" s="1" t="str">
        <f>TEXT(Table1[[#This Row],[Hiring Date]],"yyyy")</f>
        <v>2025</v>
      </c>
    </row>
    <row r="986" spans="1:22">
      <c r="A986" t="s">
        <v>569</v>
      </c>
      <c r="B986">
        <v>39</v>
      </c>
      <c r="C986">
        <v>141</v>
      </c>
      <c r="D986" t="s">
        <v>17</v>
      </c>
      <c r="E986" t="s">
        <v>17</v>
      </c>
      <c r="F986" t="s">
        <v>1499</v>
      </c>
      <c r="G986">
        <v>44</v>
      </c>
      <c r="H986">
        <v>4</v>
      </c>
      <c r="I986">
        <v>2</v>
      </c>
      <c r="J986" t="s">
        <v>1486</v>
      </c>
      <c r="K986" t="s">
        <v>17</v>
      </c>
      <c r="L986">
        <v>2</v>
      </c>
      <c r="M986" t="s">
        <v>15</v>
      </c>
      <c r="N986">
        <v>9</v>
      </c>
      <c r="O986" t="s">
        <v>13</v>
      </c>
      <c r="P986">
        <v>12</v>
      </c>
      <c r="Q986" s="4">
        <v>45651</v>
      </c>
      <c r="R986" s="4"/>
      <c r="S986" t="str">
        <f>TEXT(Table1[[#This Row],[Hiring Date]],"mmmm")</f>
        <v>December</v>
      </c>
      <c r="T986" s="1">
        <f>COUNTIF(S:S,Table1[[#This Row],[Months List]])</f>
        <v>0</v>
      </c>
      <c r="U986" t="str">
        <f>TEXT(Table1[[#This Row],[Hiring Date]],"dddd")</f>
        <v>Wednesday</v>
      </c>
      <c r="V986" s="1" t="str">
        <f>TEXT(Table1[[#This Row],[Hiring Date]],"yyyy")</f>
        <v>2024</v>
      </c>
    </row>
    <row r="987" spans="1:22">
      <c r="A987" t="s">
        <v>570</v>
      </c>
      <c r="B987">
        <v>56</v>
      </c>
      <c r="C987">
        <v>832</v>
      </c>
      <c r="D987" t="s">
        <v>14</v>
      </c>
      <c r="E987" t="s">
        <v>1495</v>
      </c>
      <c r="F987" t="s">
        <v>1496</v>
      </c>
      <c r="G987">
        <v>81</v>
      </c>
      <c r="H987">
        <v>3</v>
      </c>
      <c r="I987">
        <v>4</v>
      </c>
      <c r="J987" t="s">
        <v>1478</v>
      </c>
      <c r="K987" t="s">
        <v>1479</v>
      </c>
      <c r="L987">
        <v>4</v>
      </c>
      <c r="M987" t="s">
        <v>15</v>
      </c>
      <c r="N987">
        <v>7</v>
      </c>
      <c r="O987" t="s">
        <v>13</v>
      </c>
      <c r="P987">
        <v>30</v>
      </c>
      <c r="Q987" s="4">
        <v>45756</v>
      </c>
      <c r="R987" s="4"/>
      <c r="S987" t="str">
        <f>TEXT(Table1[[#This Row],[Hiring Date]],"mmmm")</f>
        <v>April</v>
      </c>
      <c r="T987" s="1">
        <f>COUNTIF(S:S,Table1[[#This Row],[Months List]])</f>
        <v>0</v>
      </c>
      <c r="U987" t="str">
        <f>TEXT(Table1[[#This Row],[Hiring Date]],"dddd")</f>
        <v>Wednesday</v>
      </c>
      <c r="V987" s="1" t="str">
        <f>TEXT(Table1[[#This Row],[Hiring Date]],"yyyy")</f>
        <v>2025</v>
      </c>
    </row>
    <row r="988" spans="1:22">
      <c r="A988" t="s">
        <v>571</v>
      </c>
      <c r="B988">
        <v>40</v>
      </c>
      <c r="C988">
        <v>804</v>
      </c>
      <c r="D988" t="s">
        <v>14</v>
      </c>
      <c r="E988" t="s">
        <v>1495</v>
      </c>
      <c r="F988" t="s">
        <v>1499</v>
      </c>
      <c r="G988">
        <v>86</v>
      </c>
      <c r="H988">
        <v>2</v>
      </c>
      <c r="I988">
        <v>1</v>
      </c>
      <c r="J988" t="s">
        <v>1476</v>
      </c>
      <c r="K988" t="s">
        <v>1477</v>
      </c>
      <c r="L988">
        <v>4</v>
      </c>
      <c r="M988" t="s">
        <v>12</v>
      </c>
      <c r="N988">
        <v>0</v>
      </c>
      <c r="O988" t="s">
        <v>10</v>
      </c>
      <c r="P988">
        <v>5</v>
      </c>
      <c r="Q988" s="4">
        <v>45948</v>
      </c>
      <c r="R988" s="4"/>
      <c r="S988" t="str">
        <f>TEXT(Table1[[#This Row],[Hiring Date]],"mmmm")</f>
        <v>October</v>
      </c>
      <c r="T988" s="1">
        <f>COUNTIF(S:S,Table1[[#This Row],[Months List]])</f>
        <v>0</v>
      </c>
      <c r="U988" t="str">
        <f>TEXT(Table1[[#This Row],[Hiring Date]],"dddd")</f>
        <v>Saturday</v>
      </c>
      <c r="V988" s="1" t="str">
        <f>TEXT(Table1[[#This Row],[Hiring Date]],"yyyy")</f>
        <v>2025</v>
      </c>
    </row>
    <row r="989" spans="1:22">
      <c r="A989" t="s">
        <v>572</v>
      </c>
      <c r="B989">
        <v>27</v>
      </c>
      <c r="C989">
        <v>975</v>
      </c>
      <c r="D989" t="s">
        <v>14</v>
      </c>
      <c r="E989" t="s">
        <v>1495</v>
      </c>
      <c r="F989" t="s">
        <v>1499</v>
      </c>
      <c r="G989">
        <v>55</v>
      </c>
      <c r="H989">
        <v>2</v>
      </c>
      <c r="I989">
        <v>2</v>
      </c>
      <c r="J989" t="s">
        <v>1478</v>
      </c>
      <c r="K989" t="s">
        <v>1479</v>
      </c>
      <c r="L989">
        <v>1</v>
      </c>
      <c r="M989" t="s">
        <v>12</v>
      </c>
      <c r="N989">
        <v>8</v>
      </c>
      <c r="O989" t="s">
        <v>13</v>
      </c>
      <c r="P989">
        <v>9</v>
      </c>
      <c r="Q989" s="4">
        <v>45702</v>
      </c>
      <c r="R989" s="4"/>
      <c r="S989" t="str">
        <f>TEXT(Table1[[#This Row],[Hiring Date]],"mmmm")</f>
        <v>February</v>
      </c>
      <c r="T989" s="1">
        <f>COUNTIF(S:S,Table1[[#This Row],[Months List]])</f>
        <v>0</v>
      </c>
      <c r="U989" t="str">
        <f>TEXT(Table1[[#This Row],[Hiring Date]],"dddd")</f>
        <v>Friday</v>
      </c>
      <c r="V989" s="1" t="str">
        <f>TEXT(Table1[[#This Row],[Hiring Date]],"yyyy")</f>
        <v>2025</v>
      </c>
    </row>
    <row r="990" spans="1:22">
      <c r="A990" t="s">
        <v>573</v>
      </c>
      <c r="B990">
        <v>29</v>
      </c>
      <c r="C990">
        <v>1090</v>
      </c>
      <c r="D990" t="s">
        <v>11</v>
      </c>
      <c r="E990" t="s">
        <v>1498</v>
      </c>
      <c r="F990" t="s">
        <v>1496</v>
      </c>
      <c r="G990">
        <v>83</v>
      </c>
      <c r="H990">
        <v>3</v>
      </c>
      <c r="I990">
        <v>1</v>
      </c>
      <c r="J990" t="s">
        <v>1489</v>
      </c>
      <c r="K990" t="s">
        <v>1490</v>
      </c>
      <c r="L990">
        <v>2</v>
      </c>
      <c r="M990" t="s">
        <v>16</v>
      </c>
      <c r="N990">
        <v>1</v>
      </c>
      <c r="O990" t="s">
        <v>13</v>
      </c>
      <c r="P990">
        <v>2</v>
      </c>
      <c r="Q990" s="4">
        <v>45803</v>
      </c>
      <c r="R990" s="4"/>
      <c r="S990" t="str">
        <f>TEXT(Table1[[#This Row],[Hiring Date]],"mmmm")</f>
        <v>May</v>
      </c>
      <c r="T990" s="1">
        <f>COUNTIF(S:S,Table1[[#This Row],[Months List]])</f>
        <v>0</v>
      </c>
      <c r="U990" t="str">
        <f>TEXT(Table1[[#This Row],[Hiring Date]],"dddd")</f>
        <v>Monday</v>
      </c>
      <c r="V990" s="1" t="str">
        <f>TEXT(Table1[[#This Row],[Hiring Date]],"yyyy")</f>
        <v>2025</v>
      </c>
    </row>
    <row r="991" spans="1:22">
      <c r="A991" t="s">
        <v>574</v>
      </c>
      <c r="B991">
        <v>53</v>
      </c>
      <c r="C991">
        <v>346</v>
      </c>
      <c r="D991" t="s">
        <v>14</v>
      </c>
      <c r="E991" t="s">
        <v>1497</v>
      </c>
      <c r="F991" t="s">
        <v>1496</v>
      </c>
      <c r="G991">
        <v>86</v>
      </c>
      <c r="H991">
        <v>3</v>
      </c>
      <c r="I991">
        <v>2</v>
      </c>
      <c r="J991" t="s">
        <v>1484</v>
      </c>
      <c r="K991" t="s">
        <v>1485</v>
      </c>
      <c r="L991">
        <v>4</v>
      </c>
      <c r="M991" t="s">
        <v>12</v>
      </c>
      <c r="N991">
        <v>2</v>
      </c>
      <c r="O991" t="s">
        <v>13</v>
      </c>
      <c r="P991">
        <v>19</v>
      </c>
      <c r="Q991" s="4">
        <v>45897</v>
      </c>
      <c r="R991" s="4"/>
      <c r="S991" t="str">
        <f>TEXT(Table1[[#This Row],[Hiring Date]],"mmmm")</f>
        <v>August</v>
      </c>
      <c r="T991" s="1">
        <f>COUNTIF(S:S,Table1[[#This Row],[Months List]])</f>
        <v>0</v>
      </c>
      <c r="U991" t="str">
        <f>TEXT(Table1[[#This Row],[Hiring Date]],"dddd")</f>
        <v>Thursday</v>
      </c>
      <c r="V991" s="1" t="str">
        <f>TEXT(Table1[[#This Row],[Hiring Date]],"yyyy")</f>
        <v>2025</v>
      </c>
    </row>
    <row r="992" spans="1:22">
      <c r="A992" t="s">
        <v>575</v>
      </c>
      <c r="B992">
        <v>35</v>
      </c>
      <c r="C992">
        <v>1225</v>
      </c>
      <c r="D992" t="s">
        <v>14</v>
      </c>
      <c r="E992" t="s">
        <v>1497</v>
      </c>
      <c r="F992" t="s">
        <v>1499</v>
      </c>
      <c r="G992">
        <v>61</v>
      </c>
      <c r="H992">
        <v>3</v>
      </c>
      <c r="I992">
        <v>2</v>
      </c>
      <c r="J992" t="s">
        <v>1478</v>
      </c>
      <c r="K992" t="s">
        <v>1479</v>
      </c>
      <c r="L992">
        <v>1</v>
      </c>
      <c r="M992" t="s">
        <v>16</v>
      </c>
      <c r="N992">
        <v>2</v>
      </c>
      <c r="O992" t="s">
        <v>13</v>
      </c>
      <c r="P992">
        <v>16</v>
      </c>
      <c r="Q992" s="4">
        <v>45712</v>
      </c>
      <c r="R992" s="4"/>
      <c r="S992" t="str">
        <f>TEXT(Table1[[#This Row],[Hiring Date]],"mmmm")</f>
        <v>February</v>
      </c>
      <c r="T992" s="1">
        <f>COUNTIF(S:S,Table1[[#This Row],[Months List]])</f>
        <v>0</v>
      </c>
      <c r="U992" t="str">
        <f>TEXT(Table1[[#This Row],[Hiring Date]],"dddd")</f>
        <v>Monday</v>
      </c>
      <c r="V992" s="1" t="str">
        <f>TEXT(Table1[[#This Row],[Hiring Date]],"yyyy")</f>
        <v>2025</v>
      </c>
    </row>
    <row r="993" spans="1:22">
      <c r="A993" t="s">
        <v>576</v>
      </c>
      <c r="B993">
        <v>32</v>
      </c>
      <c r="C993">
        <v>430</v>
      </c>
      <c r="D993" t="s">
        <v>14</v>
      </c>
      <c r="E993" t="s">
        <v>1497</v>
      </c>
      <c r="F993" t="s">
        <v>1496</v>
      </c>
      <c r="G993">
        <v>80</v>
      </c>
      <c r="H993">
        <v>3</v>
      </c>
      <c r="I993">
        <v>2</v>
      </c>
      <c r="J993" t="s">
        <v>1484</v>
      </c>
      <c r="K993" t="s">
        <v>1485</v>
      </c>
      <c r="L993">
        <v>4</v>
      </c>
      <c r="M993" t="s">
        <v>15</v>
      </c>
      <c r="N993">
        <v>1</v>
      </c>
      <c r="O993" t="s">
        <v>13</v>
      </c>
      <c r="P993">
        <v>10</v>
      </c>
      <c r="Q993" s="4">
        <v>45679</v>
      </c>
      <c r="R993" s="4"/>
      <c r="S993" t="str">
        <f>TEXT(Table1[[#This Row],[Hiring Date]],"mmmm")</f>
        <v>January</v>
      </c>
      <c r="T993" s="1">
        <f>COUNTIF(S:S,Table1[[#This Row],[Months List]])</f>
        <v>0</v>
      </c>
      <c r="U993" t="str">
        <f>TEXT(Table1[[#This Row],[Hiring Date]],"dddd")</f>
        <v>Wednesday</v>
      </c>
      <c r="V993" s="1" t="str">
        <f>TEXT(Table1[[#This Row],[Hiring Date]],"yyyy")</f>
        <v>2025</v>
      </c>
    </row>
    <row r="994" spans="1:22">
      <c r="A994" t="s">
        <v>64</v>
      </c>
      <c r="B994">
        <v>34</v>
      </c>
      <c r="C994">
        <v>1065</v>
      </c>
      <c r="D994" t="s">
        <v>11</v>
      </c>
      <c r="E994" t="s">
        <v>1498</v>
      </c>
      <c r="F994" t="s">
        <v>1496</v>
      </c>
      <c r="G994">
        <v>72</v>
      </c>
      <c r="H994">
        <v>3</v>
      </c>
      <c r="I994">
        <v>2</v>
      </c>
      <c r="J994" t="s">
        <v>1474</v>
      </c>
      <c r="K994" t="s">
        <v>1475</v>
      </c>
      <c r="L994">
        <v>3</v>
      </c>
      <c r="M994" t="s">
        <v>12</v>
      </c>
      <c r="N994">
        <v>0</v>
      </c>
      <c r="O994" t="s">
        <v>13</v>
      </c>
      <c r="P994">
        <v>10</v>
      </c>
      <c r="Q994" s="4">
        <v>45675</v>
      </c>
      <c r="R994" s="4"/>
      <c r="S994" t="str">
        <f>TEXT(Table1[[#This Row],[Hiring Date]],"mmmm")</f>
        <v>January</v>
      </c>
      <c r="T994" s="1">
        <f>COUNTIF(S:S,Table1[[#This Row],[Months List]])</f>
        <v>0</v>
      </c>
      <c r="U994" t="str">
        <f>TEXT(Table1[[#This Row],[Hiring Date]],"dddd")</f>
        <v>Saturday</v>
      </c>
      <c r="V994" s="1" t="str">
        <f>TEXT(Table1[[#This Row],[Hiring Date]],"yyyy")</f>
        <v>2025</v>
      </c>
    </row>
    <row r="995" spans="1:22">
      <c r="A995" t="s">
        <v>577</v>
      </c>
      <c r="B995">
        <v>38</v>
      </c>
      <c r="C995">
        <v>268</v>
      </c>
      <c r="D995" t="s">
        <v>14</v>
      </c>
      <c r="E995" t="s">
        <v>1495</v>
      </c>
      <c r="F995" t="s">
        <v>1496</v>
      </c>
      <c r="G995">
        <v>92</v>
      </c>
      <c r="H995">
        <v>3</v>
      </c>
      <c r="I995">
        <v>1</v>
      </c>
      <c r="J995" t="s">
        <v>1476</v>
      </c>
      <c r="K995" t="s">
        <v>1477</v>
      </c>
      <c r="L995">
        <v>3</v>
      </c>
      <c r="M995" t="s">
        <v>15</v>
      </c>
      <c r="N995">
        <v>6</v>
      </c>
      <c r="O995" t="s">
        <v>10</v>
      </c>
      <c r="P995">
        <v>6</v>
      </c>
      <c r="Q995" s="4">
        <v>45884</v>
      </c>
      <c r="R995" s="4"/>
      <c r="S995" t="str">
        <f>TEXT(Table1[[#This Row],[Hiring Date]],"mmmm")</f>
        <v>August</v>
      </c>
      <c r="T995" s="1">
        <f>COUNTIF(S:S,Table1[[#This Row],[Months List]])</f>
        <v>0</v>
      </c>
      <c r="U995" t="str">
        <f>TEXT(Table1[[#This Row],[Hiring Date]],"dddd")</f>
        <v>Friday</v>
      </c>
      <c r="V995" s="1" t="str">
        <f>TEXT(Table1[[#This Row],[Hiring Date]],"yyyy")</f>
        <v>2025</v>
      </c>
    </row>
    <row r="996" spans="1:22">
      <c r="A996" t="s">
        <v>578</v>
      </c>
      <c r="B996">
        <v>34</v>
      </c>
      <c r="C996">
        <v>167</v>
      </c>
      <c r="D996" t="s">
        <v>14</v>
      </c>
      <c r="E996" t="s">
        <v>1497</v>
      </c>
      <c r="F996" t="s">
        <v>1499</v>
      </c>
      <c r="G996">
        <v>32</v>
      </c>
      <c r="H996">
        <v>3</v>
      </c>
      <c r="I996">
        <v>2</v>
      </c>
      <c r="J996" t="s">
        <v>1480</v>
      </c>
      <c r="K996" t="s">
        <v>1481</v>
      </c>
      <c r="L996">
        <v>1</v>
      </c>
      <c r="M996" t="s">
        <v>16</v>
      </c>
      <c r="N996">
        <v>3</v>
      </c>
      <c r="O996" t="s">
        <v>13</v>
      </c>
      <c r="P996">
        <v>7</v>
      </c>
      <c r="Q996" s="4">
        <v>45786</v>
      </c>
      <c r="R996" s="4"/>
      <c r="S996" t="str">
        <f>TEXT(Table1[[#This Row],[Hiring Date]],"mmmm")</f>
        <v>May</v>
      </c>
      <c r="T996" s="1">
        <f>COUNTIF(S:S,Table1[[#This Row],[Months List]])</f>
        <v>0</v>
      </c>
      <c r="U996" t="str">
        <f>TEXT(Table1[[#This Row],[Hiring Date]],"dddd")</f>
        <v>Friday</v>
      </c>
      <c r="V996" s="1" t="str">
        <f>TEXT(Table1[[#This Row],[Hiring Date]],"yyyy")</f>
        <v>2025</v>
      </c>
    </row>
    <row r="997" spans="1:22">
      <c r="A997" t="s">
        <v>579</v>
      </c>
      <c r="B997">
        <v>52</v>
      </c>
      <c r="C997">
        <v>621</v>
      </c>
      <c r="D997" t="s">
        <v>11</v>
      </c>
      <c r="E997" t="s">
        <v>1498</v>
      </c>
      <c r="F997" t="s">
        <v>1496</v>
      </c>
      <c r="G997">
        <v>31</v>
      </c>
      <c r="H997">
        <v>2</v>
      </c>
      <c r="I997">
        <v>4</v>
      </c>
      <c r="J997" t="s">
        <v>1482</v>
      </c>
      <c r="K997" t="s">
        <v>1483</v>
      </c>
      <c r="L997">
        <v>1</v>
      </c>
      <c r="M997" t="s">
        <v>15</v>
      </c>
      <c r="N997">
        <v>1</v>
      </c>
      <c r="O997" t="s">
        <v>13</v>
      </c>
      <c r="P997">
        <v>34</v>
      </c>
      <c r="Q997" s="4">
        <v>45851</v>
      </c>
      <c r="R997" s="4"/>
      <c r="S997" t="str">
        <f>TEXT(Table1[[#This Row],[Hiring Date]],"mmmm")</f>
        <v>July</v>
      </c>
      <c r="T997" s="1">
        <f>COUNTIF(S:S,Table1[[#This Row],[Months List]])</f>
        <v>0</v>
      </c>
      <c r="U997" t="str">
        <f>TEXT(Table1[[#This Row],[Hiring Date]],"dddd")</f>
        <v>Sunday</v>
      </c>
      <c r="V997" s="1" t="str">
        <f>TEXT(Table1[[#This Row],[Hiring Date]],"yyyy")</f>
        <v>2025</v>
      </c>
    </row>
    <row r="998" spans="1:22">
      <c r="A998" t="s">
        <v>580</v>
      </c>
      <c r="B998">
        <v>33</v>
      </c>
      <c r="C998">
        <v>527</v>
      </c>
      <c r="D998" t="s">
        <v>14</v>
      </c>
      <c r="E998" t="s">
        <v>1500</v>
      </c>
      <c r="F998" t="s">
        <v>1496</v>
      </c>
      <c r="G998">
        <v>63</v>
      </c>
      <c r="H998">
        <v>3</v>
      </c>
      <c r="I998">
        <v>1</v>
      </c>
      <c r="J998" t="s">
        <v>1476</v>
      </c>
      <c r="K998" t="s">
        <v>1477</v>
      </c>
      <c r="L998">
        <v>4</v>
      </c>
      <c r="M998" t="s">
        <v>12</v>
      </c>
      <c r="N998">
        <v>1</v>
      </c>
      <c r="O998" t="s">
        <v>10</v>
      </c>
      <c r="P998">
        <v>10</v>
      </c>
      <c r="Q998" s="4">
        <v>45956</v>
      </c>
      <c r="R998" s="4"/>
      <c r="S998" t="str">
        <f>TEXT(Table1[[#This Row],[Hiring Date]],"mmmm")</f>
        <v>October</v>
      </c>
      <c r="T998" s="1">
        <f>COUNTIF(S:S,Table1[[#This Row],[Months List]])</f>
        <v>0</v>
      </c>
      <c r="U998" t="str">
        <f>TEXT(Table1[[#This Row],[Hiring Date]],"dddd")</f>
        <v>Sunday</v>
      </c>
      <c r="V998" s="1" t="str">
        <f>TEXT(Table1[[#This Row],[Hiring Date]],"yyyy")</f>
        <v>2025</v>
      </c>
    </row>
    <row r="999" spans="1:22">
      <c r="A999" t="s">
        <v>581</v>
      </c>
      <c r="B999">
        <v>25</v>
      </c>
      <c r="C999">
        <v>883</v>
      </c>
      <c r="D999" t="s">
        <v>11</v>
      </c>
      <c r="E999" t="s">
        <v>1495</v>
      </c>
      <c r="F999" t="s">
        <v>1499</v>
      </c>
      <c r="G999">
        <v>32</v>
      </c>
      <c r="H999">
        <v>3</v>
      </c>
      <c r="I999">
        <v>2</v>
      </c>
      <c r="J999" t="s">
        <v>1474</v>
      </c>
      <c r="K999" t="s">
        <v>1475</v>
      </c>
      <c r="L999">
        <v>4</v>
      </c>
      <c r="M999" t="s">
        <v>12</v>
      </c>
      <c r="N999">
        <v>1</v>
      </c>
      <c r="O999" t="s">
        <v>13</v>
      </c>
      <c r="P999">
        <v>6</v>
      </c>
      <c r="Q999" s="4">
        <v>45962</v>
      </c>
      <c r="R999" s="4"/>
      <c r="S999" t="str">
        <f>TEXT(Table1[[#This Row],[Hiring Date]],"mmmm")</f>
        <v>November</v>
      </c>
      <c r="T999" s="1">
        <f>COUNTIF(S:S,Table1[[#This Row],[Months List]])</f>
        <v>0</v>
      </c>
      <c r="U999" t="str">
        <f>TEXT(Table1[[#This Row],[Hiring Date]],"dddd")</f>
        <v>Saturday</v>
      </c>
      <c r="V999" s="1" t="str">
        <f>TEXT(Table1[[#This Row],[Hiring Date]],"yyyy")</f>
        <v>2025</v>
      </c>
    </row>
    <row r="1000" spans="1:22">
      <c r="A1000" t="s">
        <v>582</v>
      </c>
      <c r="B1000">
        <v>45</v>
      </c>
      <c r="C1000">
        <v>954</v>
      </c>
      <c r="D1000" t="s">
        <v>11</v>
      </c>
      <c r="E1000" t="s">
        <v>1501</v>
      </c>
      <c r="F1000" t="s">
        <v>1496</v>
      </c>
      <c r="G1000">
        <v>46</v>
      </c>
      <c r="H1000">
        <v>1</v>
      </c>
      <c r="I1000">
        <v>2</v>
      </c>
      <c r="J1000" t="s">
        <v>1489</v>
      </c>
      <c r="K1000" t="s">
        <v>1490</v>
      </c>
      <c r="L1000">
        <v>3</v>
      </c>
      <c r="M1000" t="s">
        <v>12</v>
      </c>
      <c r="N1000">
        <v>0</v>
      </c>
      <c r="O1000" t="s">
        <v>13</v>
      </c>
      <c r="P1000">
        <v>9</v>
      </c>
      <c r="Q1000" s="4">
        <v>45918</v>
      </c>
      <c r="R1000" s="4"/>
      <c r="S1000" t="str">
        <f>TEXT(Table1[[#This Row],[Hiring Date]],"mmmm")</f>
        <v>September</v>
      </c>
      <c r="T1000" s="1">
        <f>COUNTIF(S:S,Table1[[#This Row],[Months List]])</f>
        <v>0</v>
      </c>
      <c r="U1000" t="str">
        <f>TEXT(Table1[[#This Row],[Hiring Date]],"dddd")</f>
        <v>Thursday</v>
      </c>
      <c r="V1000" s="1" t="str">
        <f>TEXT(Table1[[#This Row],[Hiring Date]],"yyyy")</f>
        <v>2025</v>
      </c>
    </row>
    <row r="1001" spans="1:22">
      <c r="A1001" t="s">
        <v>583</v>
      </c>
      <c r="B1001">
        <v>23</v>
      </c>
      <c r="C1001">
        <v>310</v>
      </c>
      <c r="D1001" t="s">
        <v>14</v>
      </c>
      <c r="E1001" t="s">
        <v>1495</v>
      </c>
      <c r="F1001" t="s">
        <v>1496</v>
      </c>
      <c r="G1001">
        <v>79</v>
      </c>
      <c r="H1001">
        <v>4</v>
      </c>
      <c r="I1001">
        <v>1</v>
      </c>
      <c r="J1001" t="s">
        <v>1476</v>
      </c>
      <c r="K1001" t="s">
        <v>1477</v>
      </c>
      <c r="L1001">
        <v>3</v>
      </c>
      <c r="M1001" t="s">
        <v>12</v>
      </c>
      <c r="N1001">
        <v>1</v>
      </c>
      <c r="O1001" t="s">
        <v>13</v>
      </c>
      <c r="P1001">
        <v>2</v>
      </c>
      <c r="Q1001" s="4">
        <v>45982</v>
      </c>
      <c r="R1001" s="4"/>
      <c r="S1001" t="str">
        <f>TEXT(Table1[[#This Row],[Hiring Date]],"mmmm")</f>
        <v>November</v>
      </c>
      <c r="T1001" s="1">
        <f>COUNTIF(S:S,Table1[[#This Row],[Months List]])</f>
        <v>0</v>
      </c>
      <c r="U1001" t="str">
        <f>TEXT(Table1[[#This Row],[Hiring Date]],"dddd")</f>
        <v>Friday</v>
      </c>
      <c r="V1001" s="1" t="str">
        <f>TEXT(Table1[[#This Row],[Hiring Date]],"yyyy")</f>
        <v>2025</v>
      </c>
    </row>
    <row r="1002" spans="1:22">
      <c r="A1002" t="s">
        <v>584</v>
      </c>
      <c r="B1002">
        <v>47</v>
      </c>
      <c r="C1002">
        <v>719</v>
      </c>
      <c r="D1002" t="s">
        <v>11</v>
      </c>
      <c r="E1002" t="s">
        <v>1497</v>
      </c>
      <c r="F1002" t="s">
        <v>1499</v>
      </c>
      <c r="G1002">
        <v>77</v>
      </c>
      <c r="H1002">
        <v>4</v>
      </c>
      <c r="I1002">
        <v>2</v>
      </c>
      <c r="J1002" t="s">
        <v>1474</v>
      </c>
      <c r="K1002" t="s">
        <v>1475</v>
      </c>
      <c r="L1002">
        <v>3</v>
      </c>
      <c r="M1002" t="s">
        <v>12</v>
      </c>
      <c r="N1002">
        <v>4</v>
      </c>
      <c r="O1002" t="s">
        <v>10</v>
      </c>
      <c r="P1002">
        <v>8</v>
      </c>
      <c r="Q1002" s="4">
        <v>45830</v>
      </c>
      <c r="R1002" s="4"/>
      <c r="S1002" t="str">
        <f>TEXT(Table1[[#This Row],[Hiring Date]],"mmmm")</f>
        <v>June</v>
      </c>
      <c r="T1002" s="1">
        <f>COUNTIF(S:S,Table1[[#This Row],[Months List]])</f>
        <v>0</v>
      </c>
      <c r="U1002" t="str">
        <f>TEXT(Table1[[#This Row],[Hiring Date]],"dddd")</f>
        <v>Sunday</v>
      </c>
      <c r="V1002" s="1" t="str">
        <f>TEXT(Table1[[#This Row],[Hiring Date]],"yyyy")</f>
        <v>2025</v>
      </c>
    </row>
    <row r="1003" spans="1:22">
      <c r="A1003" t="s">
        <v>585</v>
      </c>
      <c r="B1003">
        <v>34</v>
      </c>
      <c r="C1003">
        <v>304</v>
      </c>
      <c r="D1003" t="s">
        <v>11</v>
      </c>
      <c r="E1003" t="s">
        <v>1500</v>
      </c>
      <c r="F1003" t="s">
        <v>1496</v>
      </c>
      <c r="G1003">
        <v>60</v>
      </c>
      <c r="H1003">
        <v>3</v>
      </c>
      <c r="I1003">
        <v>2</v>
      </c>
      <c r="J1003" t="s">
        <v>1474</v>
      </c>
      <c r="K1003" t="s">
        <v>1475</v>
      </c>
      <c r="L1003">
        <v>4</v>
      </c>
      <c r="M1003" t="s">
        <v>12</v>
      </c>
      <c r="N1003">
        <v>1</v>
      </c>
      <c r="O1003" t="s">
        <v>13</v>
      </c>
      <c r="P1003">
        <v>6</v>
      </c>
      <c r="Q1003" s="4">
        <v>45794</v>
      </c>
      <c r="R1003" s="4"/>
      <c r="S1003" t="str">
        <f>TEXT(Table1[[#This Row],[Hiring Date]],"mmmm")</f>
        <v>May</v>
      </c>
      <c r="T1003" s="1">
        <f>COUNTIF(S:S,Table1[[#This Row],[Months List]])</f>
        <v>0</v>
      </c>
      <c r="U1003" t="str">
        <f>TEXT(Table1[[#This Row],[Hiring Date]],"dddd")</f>
        <v>Saturday</v>
      </c>
      <c r="V1003" s="1" t="str">
        <f>TEXT(Table1[[#This Row],[Hiring Date]],"yyyy")</f>
        <v>2025</v>
      </c>
    </row>
    <row r="1004" spans="1:22">
      <c r="A1004" t="s">
        <v>586</v>
      </c>
      <c r="B1004">
        <v>55</v>
      </c>
      <c r="C1004">
        <v>725</v>
      </c>
      <c r="D1004" t="s">
        <v>14</v>
      </c>
      <c r="E1004" t="s">
        <v>1495</v>
      </c>
      <c r="F1004" t="s">
        <v>1496</v>
      </c>
      <c r="G1004">
        <v>78</v>
      </c>
      <c r="H1004">
        <v>3</v>
      </c>
      <c r="I1004">
        <v>5</v>
      </c>
      <c r="J1004" t="s">
        <v>1482</v>
      </c>
      <c r="K1004" t="s">
        <v>1483</v>
      </c>
      <c r="L1004">
        <v>1</v>
      </c>
      <c r="M1004" t="s">
        <v>15</v>
      </c>
      <c r="N1004">
        <v>5</v>
      </c>
      <c r="O1004" t="s">
        <v>10</v>
      </c>
      <c r="P1004">
        <v>24</v>
      </c>
      <c r="Q1004" s="4">
        <v>45672</v>
      </c>
      <c r="R1004" s="4"/>
      <c r="S1004" t="str">
        <f>TEXT(Table1[[#This Row],[Hiring Date]],"mmmm")</f>
        <v>January</v>
      </c>
      <c r="T1004" s="1">
        <f>COUNTIF(S:S,Table1[[#This Row],[Months List]])</f>
        <v>0</v>
      </c>
      <c r="U1004" t="str">
        <f>TEXT(Table1[[#This Row],[Hiring Date]],"dddd")</f>
        <v>Wednesday</v>
      </c>
      <c r="V1004" s="1" t="str">
        <f>TEXT(Table1[[#This Row],[Hiring Date]],"yyyy")</f>
        <v>2025</v>
      </c>
    </row>
    <row r="1005" spans="1:22">
      <c r="A1005" t="s">
        <v>65</v>
      </c>
      <c r="B1005">
        <v>37</v>
      </c>
      <c r="C1005">
        <v>408</v>
      </c>
      <c r="D1005" t="s">
        <v>14</v>
      </c>
      <c r="E1005" t="s">
        <v>1497</v>
      </c>
      <c r="F1005" t="s">
        <v>1496</v>
      </c>
      <c r="G1005">
        <v>73</v>
      </c>
      <c r="H1005">
        <v>3</v>
      </c>
      <c r="I1005">
        <v>1</v>
      </c>
      <c r="J1005" t="s">
        <v>1476</v>
      </c>
      <c r="K1005" t="s">
        <v>1477</v>
      </c>
      <c r="L1005">
        <v>2</v>
      </c>
      <c r="M1005" t="s">
        <v>15</v>
      </c>
      <c r="N1005">
        <v>4</v>
      </c>
      <c r="O1005" t="s">
        <v>13</v>
      </c>
      <c r="P1005">
        <v>8</v>
      </c>
      <c r="Q1005" s="4">
        <v>45802</v>
      </c>
      <c r="R1005" s="4"/>
      <c r="S1005" t="str">
        <f>TEXT(Table1[[#This Row],[Hiring Date]],"mmmm")</f>
        <v>May</v>
      </c>
      <c r="T1005" s="1">
        <f>COUNTIF(S:S,Table1[[#This Row],[Months List]])</f>
        <v>0</v>
      </c>
      <c r="U1005" t="str">
        <f>TEXT(Table1[[#This Row],[Hiring Date]],"dddd")</f>
        <v>Sunday</v>
      </c>
      <c r="V1005" s="1" t="str">
        <f>TEXT(Table1[[#This Row],[Hiring Date]],"yyyy")</f>
        <v>2025</v>
      </c>
    </row>
    <row r="1006" spans="1:22">
      <c r="A1006" t="s">
        <v>587</v>
      </c>
      <c r="B1006">
        <v>36</v>
      </c>
      <c r="C1006">
        <v>1434</v>
      </c>
      <c r="D1006" t="s">
        <v>11</v>
      </c>
      <c r="E1006" t="s">
        <v>1497</v>
      </c>
      <c r="F1006" t="s">
        <v>1496</v>
      </c>
      <c r="G1006">
        <v>76</v>
      </c>
      <c r="H1006">
        <v>2</v>
      </c>
      <c r="I1006">
        <v>3</v>
      </c>
      <c r="J1006" t="s">
        <v>1474</v>
      </c>
      <c r="K1006" t="s">
        <v>1475</v>
      </c>
      <c r="L1006">
        <v>1</v>
      </c>
      <c r="M1006" t="s">
        <v>12</v>
      </c>
      <c r="N1006">
        <v>1</v>
      </c>
      <c r="O1006" t="s">
        <v>13</v>
      </c>
      <c r="P1006">
        <v>10</v>
      </c>
      <c r="Q1006" s="4">
        <v>45810</v>
      </c>
      <c r="R1006" s="4"/>
      <c r="S1006" t="str">
        <f>TEXT(Table1[[#This Row],[Hiring Date]],"mmmm")</f>
        <v>June</v>
      </c>
      <c r="T1006" s="1">
        <f>COUNTIF(S:S,Table1[[#This Row],[Months List]])</f>
        <v>0</v>
      </c>
      <c r="U1006" t="str">
        <f>TEXT(Table1[[#This Row],[Hiring Date]],"dddd")</f>
        <v>Monday</v>
      </c>
      <c r="V1006" s="1" t="str">
        <f>TEXT(Table1[[#This Row],[Hiring Date]],"yyyy")</f>
        <v>2025</v>
      </c>
    </row>
    <row r="1007" spans="1:22">
      <c r="A1007" t="s">
        <v>588</v>
      </c>
      <c r="B1007">
        <v>52</v>
      </c>
      <c r="C1007">
        <v>715</v>
      </c>
      <c r="D1007" t="s">
        <v>14</v>
      </c>
      <c r="E1007" t="s">
        <v>1495</v>
      </c>
      <c r="F1007" t="s">
        <v>1496</v>
      </c>
      <c r="G1007">
        <v>41</v>
      </c>
      <c r="H1007">
        <v>3</v>
      </c>
      <c r="I1007">
        <v>1</v>
      </c>
      <c r="J1007" t="s">
        <v>1476</v>
      </c>
      <c r="K1007" t="s">
        <v>1477</v>
      </c>
      <c r="L1007">
        <v>4</v>
      </c>
      <c r="M1007" t="s">
        <v>15</v>
      </c>
      <c r="N1007">
        <v>0</v>
      </c>
      <c r="O1007" t="s">
        <v>13</v>
      </c>
      <c r="P1007">
        <v>5</v>
      </c>
      <c r="Q1007" s="4">
        <v>45987</v>
      </c>
      <c r="R1007" s="4"/>
      <c r="S1007" t="str">
        <f>TEXT(Table1[[#This Row],[Hiring Date]],"mmmm")</f>
        <v>November</v>
      </c>
      <c r="T1007" s="1">
        <f>COUNTIF(S:S,Table1[[#This Row],[Months List]])</f>
        <v>0</v>
      </c>
      <c r="U1007" t="str">
        <f>TEXT(Table1[[#This Row],[Hiring Date]],"dddd")</f>
        <v>Wednesday</v>
      </c>
      <c r="V1007" s="1" t="str">
        <f>TEXT(Table1[[#This Row],[Hiring Date]],"yyyy")</f>
        <v>2025</v>
      </c>
    </row>
    <row r="1008" spans="1:22">
      <c r="A1008" t="s">
        <v>589</v>
      </c>
      <c r="B1008">
        <v>26</v>
      </c>
      <c r="C1008">
        <v>575</v>
      </c>
      <c r="D1008" t="s">
        <v>14</v>
      </c>
      <c r="E1008" t="s">
        <v>1497</v>
      </c>
      <c r="F1008" t="s">
        <v>1499</v>
      </c>
      <c r="G1008">
        <v>71</v>
      </c>
      <c r="H1008">
        <v>1</v>
      </c>
      <c r="I1008">
        <v>1</v>
      </c>
      <c r="J1008" t="s">
        <v>1484</v>
      </c>
      <c r="K1008" t="s">
        <v>1485</v>
      </c>
      <c r="L1008">
        <v>4</v>
      </c>
      <c r="M1008" t="s">
        <v>16</v>
      </c>
      <c r="N1008">
        <v>3</v>
      </c>
      <c r="O1008" t="s">
        <v>13</v>
      </c>
      <c r="P1008">
        <v>5</v>
      </c>
      <c r="Q1008" s="4">
        <v>45802</v>
      </c>
      <c r="R1008" s="4"/>
      <c r="S1008" t="str">
        <f>TEXT(Table1[[#This Row],[Hiring Date]],"mmmm")</f>
        <v>May</v>
      </c>
      <c r="T1008" s="1">
        <f>COUNTIF(S:S,Table1[[#This Row],[Months List]])</f>
        <v>0</v>
      </c>
      <c r="U1008" t="str">
        <f>TEXT(Table1[[#This Row],[Hiring Date]],"dddd")</f>
        <v>Sunday</v>
      </c>
      <c r="V1008" s="1" t="str">
        <f>TEXT(Table1[[#This Row],[Hiring Date]],"yyyy")</f>
        <v>2025</v>
      </c>
    </row>
    <row r="1009" spans="1:22">
      <c r="A1009" t="s">
        <v>590</v>
      </c>
      <c r="B1009">
        <v>29</v>
      </c>
      <c r="C1009">
        <v>657</v>
      </c>
      <c r="D1009" t="s">
        <v>14</v>
      </c>
      <c r="E1009" t="s">
        <v>1495</v>
      </c>
      <c r="F1009" t="s">
        <v>1499</v>
      </c>
      <c r="G1009">
        <v>66</v>
      </c>
      <c r="H1009">
        <v>3</v>
      </c>
      <c r="I1009">
        <v>2</v>
      </c>
      <c r="J1009" t="s">
        <v>1478</v>
      </c>
      <c r="K1009" t="s">
        <v>1479</v>
      </c>
      <c r="L1009">
        <v>3</v>
      </c>
      <c r="M1009" t="s">
        <v>15</v>
      </c>
      <c r="N1009">
        <v>4</v>
      </c>
      <c r="O1009" t="s">
        <v>13</v>
      </c>
      <c r="P1009">
        <v>11</v>
      </c>
      <c r="Q1009" s="4">
        <v>45842</v>
      </c>
      <c r="R1009" s="4"/>
      <c r="S1009" t="str">
        <f>TEXT(Table1[[#This Row],[Hiring Date]],"mmmm")</f>
        <v>July</v>
      </c>
      <c r="T1009" s="1">
        <f>COUNTIF(S:S,Table1[[#This Row],[Months List]])</f>
        <v>0</v>
      </c>
      <c r="U1009" t="str">
        <f>TEXT(Table1[[#This Row],[Hiring Date]],"dddd")</f>
        <v>Friday</v>
      </c>
      <c r="V1009" s="1" t="str">
        <f>TEXT(Table1[[#This Row],[Hiring Date]],"yyyy")</f>
        <v>2025</v>
      </c>
    </row>
    <row r="1010" spans="1:22">
      <c r="A1010" t="s">
        <v>591</v>
      </c>
      <c r="B1010">
        <v>26</v>
      </c>
      <c r="C1010">
        <v>1146</v>
      </c>
      <c r="D1010" t="s">
        <v>11</v>
      </c>
      <c r="E1010" t="s">
        <v>1501</v>
      </c>
      <c r="F1010" t="s">
        <v>1496</v>
      </c>
      <c r="G1010">
        <v>38</v>
      </c>
      <c r="H1010">
        <v>2</v>
      </c>
      <c r="I1010">
        <v>2</v>
      </c>
      <c r="J1010" t="s">
        <v>1474</v>
      </c>
      <c r="K1010" t="s">
        <v>1475</v>
      </c>
      <c r="L1010">
        <v>1</v>
      </c>
      <c r="M1010" t="s">
        <v>12</v>
      </c>
      <c r="N1010">
        <v>6</v>
      </c>
      <c r="O1010" t="s">
        <v>13</v>
      </c>
      <c r="P1010">
        <v>6</v>
      </c>
      <c r="Q1010" s="4">
        <v>45669</v>
      </c>
      <c r="R1010" s="4"/>
      <c r="S1010" t="str">
        <f>TEXT(Table1[[#This Row],[Hiring Date]],"mmmm")</f>
        <v>January</v>
      </c>
      <c r="T1010" s="1">
        <f>COUNTIF(S:S,Table1[[#This Row],[Months List]])</f>
        <v>0</v>
      </c>
      <c r="U1010" t="str">
        <f>TEXT(Table1[[#This Row],[Hiring Date]],"dddd")</f>
        <v>Sunday</v>
      </c>
      <c r="V1010" s="1" t="str">
        <f>TEXT(Table1[[#This Row],[Hiring Date]],"yyyy")</f>
        <v>2025</v>
      </c>
    </row>
    <row r="1011" spans="1:22">
      <c r="A1011" t="s">
        <v>592</v>
      </c>
      <c r="B1011">
        <v>34</v>
      </c>
      <c r="C1011">
        <v>182</v>
      </c>
      <c r="D1011" t="s">
        <v>14</v>
      </c>
      <c r="E1011" t="s">
        <v>1497</v>
      </c>
      <c r="F1011" t="s">
        <v>1499</v>
      </c>
      <c r="G1011">
        <v>72</v>
      </c>
      <c r="H1011">
        <v>4</v>
      </c>
      <c r="I1011">
        <v>1</v>
      </c>
      <c r="J1011" t="s">
        <v>1476</v>
      </c>
      <c r="K1011" t="s">
        <v>1477</v>
      </c>
      <c r="L1011">
        <v>4</v>
      </c>
      <c r="M1011" t="s">
        <v>12</v>
      </c>
      <c r="N1011">
        <v>2</v>
      </c>
      <c r="O1011" t="s">
        <v>13</v>
      </c>
      <c r="P1011">
        <v>10</v>
      </c>
      <c r="Q1011" s="4">
        <v>45937</v>
      </c>
      <c r="R1011" s="4"/>
      <c r="S1011" t="str">
        <f>TEXT(Table1[[#This Row],[Hiring Date]],"mmmm")</f>
        <v>October</v>
      </c>
      <c r="T1011" s="1">
        <f>COUNTIF(S:S,Table1[[#This Row],[Months List]])</f>
        <v>0</v>
      </c>
      <c r="U1011" t="str">
        <f>TEXT(Table1[[#This Row],[Hiring Date]],"dddd")</f>
        <v>Tuesday</v>
      </c>
      <c r="V1011" s="1" t="str">
        <f>TEXT(Table1[[#This Row],[Hiring Date]],"yyyy")</f>
        <v>2025</v>
      </c>
    </row>
    <row r="1012" spans="1:22">
      <c r="A1012" t="s">
        <v>593</v>
      </c>
      <c r="B1012">
        <v>54</v>
      </c>
      <c r="C1012">
        <v>376</v>
      </c>
      <c r="D1012" t="s">
        <v>14</v>
      </c>
      <c r="E1012" t="s">
        <v>1495</v>
      </c>
      <c r="F1012" t="s">
        <v>1499</v>
      </c>
      <c r="G1012">
        <v>95</v>
      </c>
      <c r="H1012">
        <v>3</v>
      </c>
      <c r="I1012">
        <v>2</v>
      </c>
      <c r="J1012" t="s">
        <v>1480</v>
      </c>
      <c r="K1012" t="s">
        <v>1481</v>
      </c>
      <c r="L1012">
        <v>1</v>
      </c>
      <c r="M1012" t="s">
        <v>16</v>
      </c>
      <c r="N1012">
        <v>9</v>
      </c>
      <c r="O1012" t="s">
        <v>10</v>
      </c>
      <c r="P1012">
        <v>9</v>
      </c>
      <c r="Q1012" s="4">
        <v>45637</v>
      </c>
      <c r="R1012" s="4"/>
      <c r="S1012" t="str">
        <f>TEXT(Table1[[#This Row],[Hiring Date]],"mmmm")</f>
        <v>December</v>
      </c>
      <c r="T1012" s="1">
        <f>COUNTIF(S:S,Table1[[#This Row],[Months List]])</f>
        <v>0</v>
      </c>
      <c r="U1012" t="str">
        <f>TEXT(Table1[[#This Row],[Hiring Date]],"dddd")</f>
        <v>Wednesday</v>
      </c>
      <c r="V1012" s="1" t="str">
        <f>TEXT(Table1[[#This Row],[Hiring Date]],"yyyy")</f>
        <v>2024</v>
      </c>
    </row>
    <row r="1013" spans="1:22">
      <c r="A1013" t="s">
        <v>594</v>
      </c>
      <c r="B1013">
        <v>27</v>
      </c>
      <c r="C1013">
        <v>829</v>
      </c>
      <c r="D1013" t="s">
        <v>11</v>
      </c>
      <c r="E1013" t="s">
        <v>1498</v>
      </c>
      <c r="F1013" t="s">
        <v>1496</v>
      </c>
      <c r="G1013">
        <v>84</v>
      </c>
      <c r="H1013">
        <v>3</v>
      </c>
      <c r="I1013">
        <v>2</v>
      </c>
      <c r="J1013" t="s">
        <v>1474</v>
      </c>
      <c r="K1013" t="s">
        <v>1475</v>
      </c>
      <c r="L1013">
        <v>4</v>
      </c>
      <c r="M1013" t="s">
        <v>15</v>
      </c>
      <c r="N1013">
        <v>0</v>
      </c>
      <c r="O1013" t="s">
        <v>13</v>
      </c>
      <c r="P1013">
        <v>5</v>
      </c>
      <c r="Q1013" s="4">
        <v>45997</v>
      </c>
      <c r="R1013" s="4"/>
      <c r="S1013" t="str">
        <f>TEXT(Table1[[#This Row],[Hiring Date]],"mmmm")</f>
        <v>December</v>
      </c>
      <c r="T1013" s="1">
        <f>COUNTIF(S:S,Table1[[#This Row],[Months List]])</f>
        <v>0</v>
      </c>
      <c r="U1013" t="str">
        <f>TEXT(Table1[[#This Row],[Hiring Date]],"dddd")</f>
        <v>Saturday</v>
      </c>
      <c r="V1013" s="1" t="str">
        <f>TEXT(Table1[[#This Row],[Hiring Date]],"yyyy")</f>
        <v>2025</v>
      </c>
    </row>
    <row r="1014" spans="1:22">
      <c r="A1014" t="s">
        <v>595</v>
      </c>
      <c r="B1014">
        <v>37</v>
      </c>
      <c r="C1014">
        <v>571</v>
      </c>
      <c r="D1014" t="s">
        <v>14</v>
      </c>
      <c r="E1014" t="s">
        <v>1497</v>
      </c>
      <c r="F1014" t="s">
        <v>1499</v>
      </c>
      <c r="G1014">
        <v>82</v>
      </c>
      <c r="H1014">
        <v>3</v>
      </c>
      <c r="I1014">
        <v>1</v>
      </c>
      <c r="J1014" t="s">
        <v>1476</v>
      </c>
      <c r="K1014" t="s">
        <v>1477</v>
      </c>
      <c r="L1014">
        <v>1</v>
      </c>
      <c r="M1014" t="s">
        <v>16</v>
      </c>
      <c r="N1014">
        <v>0</v>
      </c>
      <c r="O1014" t="s">
        <v>10</v>
      </c>
      <c r="P1014">
        <v>6</v>
      </c>
      <c r="Q1014" s="4">
        <v>45854</v>
      </c>
      <c r="R1014" s="4"/>
      <c r="S1014" t="str">
        <f>TEXT(Table1[[#This Row],[Hiring Date]],"mmmm")</f>
        <v>July</v>
      </c>
      <c r="T1014" s="1">
        <f>COUNTIF(S:S,Table1[[#This Row],[Months List]])</f>
        <v>0</v>
      </c>
      <c r="U1014" t="str">
        <f>TEXT(Table1[[#This Row],[Hiring Date]],"dddd")</f>
        <v>Wednesday</v>
      </c>
      <c r="V1014" s="1" t="str">
        <f>TEXT(Table1[[#This Row],[Hiring Date]],"yyyy")</f>
        <v>2025</v>
      </c>
    </row>
    <row r="1015" spans="1:22">
      <c r="A1015" t="s">
        <v>596</v>
      </c>
      <c r="B1015">
        <v>38</v>
      </c>
      <c r="C1015">
        <v>240</v>
      </c>
      <c r="D1015" t="s">
        <v>14</v>
      </c>
      <c r="E1015" t="s">
        <v>1497</v>
      </c>
      <c r="F1015" t="s">
        <v>1499</v>
      </c>
      <c r="G1015">
        <v>75</v>
      </c>
      <c r="H1015">
        <v>4</v>
      </c>
      <c r="I1015">
        <v>2</v>
      </c>
      <c r="J1015" t="s">
        <v>1480</v>
      </c>
      <c r="K1015" t="s">
        <v>1481</v>
      </c>
      <c r="L1015">
        <v>1</v>
      </c>
      <c r="M1015" t="s">
        <v>12</v>
      </c>
      <c r="N1015">
        <v>6</v>
      </c>
      <c r="O1015" t="s">
        <v>10</v>
      </c>
      <c r="P1015">
        <v>17</v>
      </c>
      <c r="Q1015" s="4">
        <v>45928</v>
      </c>
      <c r="R1015" s="4"/>
      <c r="S1015" t="str">
        <f>TEXT(Table1[[#This Row],[Hiring Date]],"mmmm")</f>
        <v>September</v>
      </c>
      <c r="T1015" s="1">
        <f>COUNTIF(S:S,Table1[[#This Row],[Months List]])</f>
        <v>0</v>
      </c>
      <c r="U1015" t="str">
        <f>TEXT(Table1[[#This Row],[Hiring Date]],"dddd")</f>
        <v>Sunday</v>
      </c>
      <c r="V1015" s="1" t="str">
        <f>TEXT(Table1[[#This Row],[Hiring Date]],"yyyy")</f>
        <v>2025</v>
      </c>
    </row>
    <row r="1016" spans="1:22">
      <c r="A1016" t="s">
        <v>66</v>
      </c>
      <c r="B1016">
        <v>46</v>
      </c>
      <c r="C1016">
        <v>1211</v>
      </c>
      <c r="D1016" t="s">
        <v>11</v>
      </c>
      <c r="E1016" t="s">
        <v>1498</v>
      </c>
      <c r="F1016" t="s">
        <v>1496</v>
      </c>
      <c r="G1016">
        <v>98</v>
      </c>
      <c r="H1016">
        <v>3</v>
      </c>
      <c r="I1016">
        <v>2</v>
      </c>
      <c r="J1016" t="s">
        <v>1474</v>
      </c>
      <c r="K1016" t="s">
        <v>1475</v>
      </c>
      <c r="L1016">
        <v>4</v>
      </c>
      <c r="M1016" t="s">
        <v>12</v>
      </c>
      <c r="N1016">
        <v>4</v>
      </c>
      <c r="O1016" t="s">
        <v>10</v>
      </c>
      <c r="P1016">
        <v>14</v>
      </c>
      <c r="Q1016" s="4">
        <v>45925</v>
      </c>
      <c r="R1016" s="4"/>
      <c r="S1016" t="str">
        <f>TEXT(Table1[[#This Row],[Hiring Date]],"mmmm")</f>
        <v>September</v>
      </c>
      <c r="T1016" s="1">
        <f>COUNTIF(S:S,Table1[[#This Row],[Months List]])</f>
        <v>0</v>
      </c>
      <c r="U1016" t="str">
        <f>TEXT(Table1[[#This Row],[Hiring Date]],"dddd")</f>
        <v>Thursday</v>
      </c>
      <c r="V1016" s="1" t="str">
        <f>TEXT(Table1[[#This Row],[Hiring Date]],"yyyy")</f>
        <v>2025</v>
      </c>
    </row>
    <row r="1017" spans="1:22">
      <c r="A1017" t="s">
        <v>597</v>
      </c>
      <c r="B1017">
        <v>34</v>
      </c>
      <c r="C1017">
        <v>121</v>
      </c>
      <c r="D1017" t="s">
        <v>14</v>
      </c>
      <c r="E1017" t="s">
        <v>1495</v>
      </c>
      <c r="F1017" t="s">
        <v>1499</v>
      </c>
      <c r="G1017">
        <v>86</v>
      </c>
      <c r="H1017">
        <v>2</v>
      </c>
      <c r="I1017">
        <v>1</v>
      </c>
      <c r="J1017" t="s">
        <v>1476</v>
      </c>
      <c r="K1017" t="s">
        <v>1477</v>
      </c>
      <c r="L1017">
        <v>1</v>
      </c>
      <c r="M1017" t="s">
        <v>12</v>
      </c>
      <c r="N1017">
        <v>1</v>
      </c>
      <c r="O1017" t="s">
        <v>13</v>
      </c>
      <c r="P1017">
        <v>6</v>
      </c>
      <c r="Q1017" s="4">
        <v>45643</v>
      </c>
      <c r="R1017" s="4"/>
      <c r="S1017" t="str">
        <f>TEXT(Table1[[#This Row],[Hiring Date]],"mmmm")</f>
        <v>December</v>
      </c>
      <c r="T1017" s="1">
        <f>COUNTIF(S:S,Table1[[#This Row],[Months List]])</f>
        <v>0</v>
      </c>
      <c r="U1017" t="str">
        <f>TEXT(Table1[[#This Row],[Hiring Date]],"dddd")</f>
        <v>Tuesday</v>
      </c>
      <c r="V1017" s="1" t="str">
        <f>TEXT(Table1[[#This Row],[Hiring Date]],"yyyy")</f>
        <v>2024</v>
      </c>
    </row>
    <row r="1018" spans="1:22">
      <c r="A1018" t="s">
        <v>598</v>
      </c>
      <c r="B1018">
        <v>35</v>
      </c>
      <c r="C1018">
        <v>384</v>
      </c>
      <c r="D1018" t="s">
        <v>11</v>
      </c>
      <c r="E1018" t="s">
        <v>1497</v>
      </c>
      <c r="F1018" t="s">
        <v>1499</v>
      </c>
      <c r="G1018">
        <v>72</v>
      </c>
      <c r="H1018">
        <v>3</v>
      </c>
      <c r="I1018">
        <v>1</v>
      </c>
      <c r="J1018" t="s">
        <v>1489</v>
      </c>
      <c r="K1018" t="s">
        <v>1490</v>
      </c>
      <c r="L1018">
        <v>4</v>
      </c>
      <c r="M1018" t="s">
        <v>15</v>
      </c>
      <c r="N1018">
        <v>1</v>
      </c>
      <c r="O1018" t="s">
        <v>13</v>
      </c>
      <c r="P1018">
        <v>3</v>
      </c>
      <c r="Q1018" s="4">
        <v>45772</v>
      </c>
      <c r="R1018" s="4"/>
      <c r="S1018" t="str">
        <f>TEXT(Table1[[#This Row],[Hiring Date]],"mmmm")</f>
        <v>April</v>
      </c>
      <c r="T1018" s="1">
        <f>COUNTIF(S:S,Table1[[#This Row],[Months List]])</f>
        <v>0</v>
      </c>
      <c r="U1018" t="str">
        <f>TEXT(Table1[[#This Row],[Hiring Date]],"dddd")</f>
        <v>Friday</v>
      </c>
      <c r="V1018" s="1" t="str">
        <f>TEXT(Table1[[#This Row],[Hiring Date]],"yyyy")</f>
        <v>2025</v>
      </c>
    </row>
    <row r="1019" spans="1:22">
      <c r="A1019" t="s">
        <v>599</v>
      </c>
      <c r="B1019">
        <v>30</v>
      </c>
      <c r="C1019">
        <v>921</v>
      </c>
      <c r="D1019" t="s">
        <v>14</v>
      </c>
      <c r="E1019" t="s">
        <v>1497</v>
      </c>
      <c r="F1019" t="s">
        <v>1496</v>
      </c>
      <c r="G1019">
        <v>38</v>
      </c>
      <c r="H1019">
        <v>1</v>
      </c>
      <c r="I1019">
        <v>1</v>
      </c>
      <c r="J1019" t="s">
        <v>1484</v>
      </c>
      <c r="K1019" t="s">
        <v>1485</v>
      </c>
      <c r="L1019">
        <v>3</v>
      </c>
      <c r="M1019" t="s">
        <v>15</v>
      </c>
      <c r="N1019">
        <v>3</v>
      </c>
      <c r="O1019" t="s">
        <v>13</v>
      </c>
      <c r="P1019">
        <v>7</v>
      </c>
      <c r="Q1019" s="4">
        <v>45769</v>
      </c>
      <c r="R1019" s="4"/>
      <c r="S1019" t="str">
        <f>TEXT(Table1[[#This Row],[Hiring Date]],"mmmm")</f>
        <v>April</v>
      </c>
      <c r="T1019" s="1">
        <f>COUNTIF(S:S,Table1[[#This Row],[Months List]])</f>
        <v>0</v>
      </c>
      <c r="U1019" t="str">
        <f>TEXT(Table1[[#This Row],[Hiring Date]],"dddd")</f>
        <v>Tuesday</v>
      </c>
      <c r="V1019" s="1" t="str">
        <f>TEXT(Table1[[#This Row],[Hiring Date]],"yyyy")</f>
        <v>2025</v>
      </c>
    </row>
    <row r="1020" spans="1:22">
      <c r="A1020" t="s">
        <v>600</v>
      </c>
      <c r="B1020">
        <v>40</v>
      </c>
      <c r="C1020">
        <v>791</v>
      </c>
      <c r="D1020" t="s">
        <v>14</v>
      </c>
      <c r="E1020" t="s">
        <v>1495</v>
      </c>
      <c r="F1020" t="s">
        <v>1499</v>
      </c>
      <c r="G1020">
        <v>38</v>
      </c>
      <c r="H1020">
        <v>4</v>
      </c>
      <c r="I1020">
        <v>2</v>
      </c>
      <c r="J1020" t="s">
        <v>1478</v>
      </c>
      <c r="K1020" t="s">
        <v>1479</v>
      </c>
      <c r="L1020">
        <v>2</v>
      </c>
      <c r="M1020" t="s">
        <v>15</v>
      </c>
      <c r="N1020">
        <v>1</v>
      </c>
      <c r="O1020" t="s">
        <v>13</v>
      </c>
      <c r="P1020">
        <v>8</v>
      </c>
      <c r="Q1020" s="4">
        <v>45897</v>
      </c>
      <c r="R1020" s="4"/>
      <c r="S1020" t="str">
        <f>TEXT(Table1[[#This Row],[Hiring Date]],"mmmm")</f>
        <v>August</v>
      </c>
      <c r="T1020" s="1">
        <f>COUNTIF(S:S,Table1[[#This Row],[Months List]])</f>
        <v>0</v>
      </c>
      <c r="U1020" t="str">
        <f>TEXT(Table1[[#This Row],[Hiring Date]],"dddd")</f>
        <v>Thursday</v>
      </c>
      <c r="V1020" s="1" t="str">
        <f>TEXT(Table1[[#This Row],[Hiring Date]],"yyyy")</f>
        <v>2025</v>
      </c>
    </row>
    <row r="1021" spans="1:22">
      <c r="A1021" t="s">
        <v>601</v>
      </c>
      <c r="B1021">
        <v>34</v>
      </c>
      <c r="C1021">
        <v>1111</v>
      </c>
      <c r="D1021" t="s">
        <v>11</v>
      </c>
      <c r="E1021" t="s">
        <v>1497</v>
      </c>
      <c r="F1021" t="s">
        <v>1499</v>
      </c>
      <c r="G1021">
        <v>93</v>
      </c>
      <c r="H1021">
        <v>3</v>
      </c>
      <c r="I1021">
        <v>2</v>
      </c>
      <c r="J1021" t="s">
        <v>1474</v>
      </c>
      <c r="K1021" t="s">
        <v>1475</v>
      </c>
      <c r="L1021">
        <v>1</v>
      </c>
      <c r="M1021" t="s">
        <v>15</v>
      </c>
      <c r="N1021">
        <v>5</v>
      </c>
      <c r="O1021" t="s">
        <v>13</v>
      </c>
      <c r="P1021">
        <v>6</v>
      </c>
      <c r="Q1021" s="4">
        <v>45941</v>
      </c>
      <c r="R1021" s="4"/>
      <c r="S1021" t="str">
        <f>TEXT(Table1[[#This Row],[Hiring Date]],"mmmm")</f>
        <v>October</v>
      </c>
      <c r="T1021" s="1">
        <f>COUNTIF(S:S,Table1[[#This Row],[Months List]])</f>
        <v>0</v>
      </c>
      <c r="U1021" t="str">
        <f>TEXT(Table1[[#This Row],[Hiring Date]],"dddd")</f>
        <v>Saturday</v>
      </c>
      <c r="V1021" s="1" t="str">
        <f>TEXT(Table1[[#This Row],[Hiring Date]],"yyyy")</f>
        <v>2025</v>
      </c>
    </row>
    <row r="1022" spans="1:22">
      <c r="A1022" t="s">
        <v>602</v>
      </c>
      <c r="B1022">
        <v>42</v>
      </c>
      <c r="C1022">
        <v>570</v>
      </c>
      <c r="D1022" t="s">
        <v>14</v>
      </c>
      <c r="E1022" t="s">
        <v>1497</v>
      </c>
      <c r="F1022" t="s">
        <v>1496</v>
      </c>
      <c r="G1022">
        <v>66</v>
      </c>
      <c r="H1022">
        <v>3</v>
      </c>
      <c r="I1022">
        <v>5</v>
      </c>
      <c r="J1022" t="s">
        <v>1482</v>
      </c>
      <c r="K1022" t="s">
        <v>1483</v>
      </c>
      <c r="L1022">
        <v>4</v>
      </c>
      <c r="M1022" t="s">
        <v>16</v>
      </c>
      <c r="N1022">
        <v>1</v>
      </c>
      <c r="O1022" t="s">
        <v>13</v>
      </c>
      <c r="P1022">
        <v>24</v>
      </c>
      <c r="Q1022" s="4">
        <v>45874</v>
      </c>
      <c r="R1022" s="4"/>
      <c r="S1022" t="str">
        <f>TEXT(Table1[[#This Row],[Hiring Date]],"mmmm")</f>
        <v>August</v>
      </c>
      <c r="T1022" s="1">
        <f>COUNTIF(S:S,Table1[[#This Row],[Months List]])</f>
        <v>0</v>
      </c>
      <c r="U1022" t="str">
        <f>TEXT(Table1[[#This Row],[Hiring Date]],"dddd")</f>
        <v>Tuesday</v>
      </c>
      <c r="V1022" s="1" t="str">
        <f>TEXT(Table1[[#This Row],[Hiring Date]],"yyyy")</f>
        <v>2025</v>
      </c>
    </row>
    <row r="1023" spans="1:22">
      <c r="A1023" t="s">
        <v>603</v>
      </c>
      <c r="B1023">
        <v>23</v>
      </c>
      <c r="C1023">
        <v>1243</v>
      </c>
      <c r="D1023" t="s">
        <v>14</v>
      </c>
      <c r="E1023" t="s">
        <v>1497</v>
      </c>
      <c r="F1023" t="s">
        <v>1496</v>
      </c>
      <c r="G1023">
        <v>63</v>
      </c>
      <c r="H1023">
        <v>4</v>
      </c>
      <c r="I1023">
        <v>1</v>
      </c>
      <c r="J1023" t="s">
        <v>1484</v>
      </c>
      <c r="K1023" t="s">
        <v>1485</v>
      </c>
      <c r="L1023">
        <v>1</v>
      </c>
      <c r="M1023" t="s">
        <v>15</v>
      </c>
      <c r="N1023">
        <v>1</v>
      </c>
      <c r="O1023" t="s">
        <v>10</v>
      </c>
      <c r="P1023">
        <v>1</v>
      </c>
      <c r="Q1023" s="4">
        <v>45917</v>
      </c>
      <c r="R1023" s="4"/>
      <c r="S1023" t="str">
        <f>TEXT(Table1[[#This Row],[Hiring Date]],"mmmm")</f>
        <v>September</v>
      </c>
      <c r="T1023" s="1">
        <f>COUNTIF(S:S,Table1[[#This Row],[Months List]])</f>
        <v>0</v>
      </c>
      <c r="U1023" t="str">
        <f>TEXT(Table1[[#This Row],[Hiring Date]],"dddd")</f>
        <v>Wednesday</v>
      </c>
      <c r="V1023" s="1" t="str">
        <f>TEXT(Table1[[#This Row],[Hiring Date]],"yyyy")</f>
        <v>2025</v>
      </c>
    </row>
    <row r="1024" spans="1:22">
      <c r="A1024" t="s">
        <v>604</v>
      </c>
      <c r="B1024">
        <v>24</v>
      </c>
      <c r="C1024">
        <v>1092</v>
      </c>
      <c r="D1024" t="s">
        <v>14</v>
      </c>
      <c r="E1024" t="s">
        <v>1497</v>
      </c>
      <c r="F1024" t="s">
        <v>1496</v>
      </c>
      <c r="G1024">
        <v>60</v>
      </c>
      <c r="H1024">
        <v>2</v>
      </c>
      <c r="I1024">
        <v>1</v>
      </c>
      <c r="J1024" t="s">
        <v>1484</v>
      </c>
      <c r="K1024" t="s">
        <v>1485</v>
      </c>
      <c r="L1024">
        <v>2</v>
      </c>
      <c r="M1024" t="s">
        <v>16</v>
      </c>
      <c r="N1024">
        <v>1</v>
      </c>
      <c r="O1024" t="s">
        <v>13</v>
      </c>
      <c r="P1024">
        <v>1</v>
      </c>
      <c r="Q1024" s="4">
        <v>45924</v>
      </c>
      <c r="R1024" s="4"/>
      <c r="S1024" t="str">
        <f>TEXT(Table1[[#This Row],[Hiring Date]],"mmmm")</f>
        <v>September</v>
      </c>
      <c r="T1024" s="1">
        <f>COUNTIF(S:S,Table1[[#This Row],[Months List]])</f>
        <v>0</v>
      </c>
      <c r="U1024" t="str">
        <f>TEXT(Table1[[#This Row],[Hiring Date]],"dddd")</f>
        <v>Wednesday</v>
      </c>
      <c r="V1024" s="1" t="str">
        <f>TEXT(Table1[[#This Row],[Hiring Date]],"yyyy")</f>
        <v>2025</v>
      </c>
    </row>
    <row r="1025" spans="1:22">
      <c r="A1025" t="s">
        <v>605</v>
      </c>
      <c r="B1025">
        <v>52</v>
      </c>
      <c r="C1025">
        <v>1325</v>
      </c>
      <c r="D1025" t="s">
        <v>14</v>
      </c>
      <c r="E1025" t="s">
        <v>1497</v>
      </c>
      <c r="F1025" t="s">
        <v>1499</v>
      </c>
      <c r="G1025">
        <v>82</v>
      </c>
      <c r="H1025">
        <v>3</v>
      </c>
      <c r="I1025">
        <v>2</v>
      </c>
      <c r="J1025" t="s">
        <v>1484</v>
      </c>
      <c r="K1025" t="s">
        <v>1485</v>
      </c>
      <c r="L1025">
        <v>3</v>
      </c>
      <c r="M1025" t="s">
        <v>15</v>
      </c>
      <c r="N1025">
        <v>8</v>
      </c>
      <c r="O1025" t="s">
        <v>13</v>
      </c>
      <c r="P1025">
        <v>9</v>
      </c>
      <c r="Q1025" s="4">
        <v>45933</v>
      </c>
      <c r="R1025" s="4"/>
      <c r="S1025" t="str">
        <f>TEXT(Table1[[#This Row],[Hiring Date]],"mmmm")</f>
        <v>October</v>
      </c>
      <c r="T1025" s="1">
        <f>COUNTIF(S:S,Table1[[#This Row],[Months List]])</f>
        <v>0</v>
      </c>
      <c r="U1025" t="str">
        <f>TEXT(Table1[[#This Row],[Hiring Date]],"dddd")</f>
        <v>Friday</v>
      </c>
      <c r="V1025" s="1" t="str">
        <f>TEXT(Table1[[#This Row],[Hiring Date]],"yyyy")</f>
        <v>2025</v>
      </c>
    </row>
    <row r="1026" spans="1:22">
      <c r="A1026" t="s">
        <v>606</v>
      </c>
      <c r="B1026">
        <v>50</v>
      </c>
      <c r="C1026">
        <v>691</v>
      </c>
      <c r="D1026" t="s">
        <v>14</v>
      </c>
      <c r="E1026" t="s">
        <v>1495</v>
      </c>
      <c r="F1026" t="s">
        <v>1496</v>
      </c>
      <c r="G1026">
        <v>64</v>
      </c>
      <c r="H1026">
        <v>3</v>
      </c>
      <c r="I1026">
        <v>4</v>
      </c>
      <c r="J1026" t="s">
        <v>1487</v>
      </c>
      <c r="K1026" t="s">
        <v>1488</v>
      </c>
      <c r="L1026">
        <v>3</v>
      </c>
      <c r="M1026" t="s">
        <v>15</v>
      </c>
      <c r="N1026">
        <v>5</v>
      </c>
      <c r="O1026" t="s">
        <v>13</v>
      </c>
      <c r="P1026">
        <v>30</v>
      </c>
      <c r="Q1026" s="4">
        <v>45658</v>
      </c>
      <c r="R1026" s="4"/>
      <c r="S1026" t="str">
        <f>TEXT(Table1[[#This Row],[Hiring Date]],"mmmm")</f>
        <v>January</v>
      </c>
      <c r="T1026" s="1">
        <f>COUNTIF(S:S,Table1[[#This Row],[Months List]])</f>
        <v>0</v>
      </c>
      <c r="U1026" t="str">
        <f>TEXT(Table1[[#This Row],[Hiring Date]],"dddd")</f>
        <v>Wednesday</v>
      </c>
      <c r="V1026" s="1" t="str">
        <f>TEXT(Table1[[#This Row],[Hiring Date]],"yyyy")</f>
        <v>2025</v>
      </c>
    </row>
    <row r="1027" spans="1:22">
      <c r="A1027" t="s">
        <v>67</v>
      </c>
      <c r="B1027">
        <v>35</v>
      </c>
      <c r="C1027">
        <v>1229</v>
      </c>
      <c r="D1027" t="s">
        <v>14</v>
      </c>
      <c r="E1027" t="s">
        <v>1497</v>
      </c>
      <c r="F1027" t="s">
        <v>1496</v>
      </c>
      <c r="G1027">
        <v>36</v>
      </c>
      <c r="H1027">
        <v>4</v>
      </c>
      <c r="I1027">
        <v>1</v>
      </c>
      <c r="J1027" t="s">
        <v>1484</v>
      </c>
      <c r="K1027" t="s">
        <v>1485</v>
      </c>
      <c r="L1027">
        <v>4</v>
      </c>
      <c r="M1027" t="s">
        <v>15</v>
      </c>
      <c r="N1027">
        <v>1</v>
      </c>
      <c r="O1027" t="s">
        <v>13</v>
      </c>
      <c r="P1027">
        <v>1</v>
      </c>
      <c r="Q1027" s="4">
        <v>45902</v>
      </c>
      <c r="R1027" s="4"/>
      <c r="S1027" t="str">
        <f>TEXT(Table1[[#This Row],[Hiring Date]],"mmmm")</f>
        <v>September</v>
      </c>
      <c r="T1027" s="1">
        <f>COUNTIF(S:S,Table1[[#This Row],[Months List]])</f>
        <v>0</v>
      </c>
      <c r="U1027" t="str">
        <f>TEXT(Table1[[#This Row],[Hiring Date]],"dddd")</f>
        <v>Tuesday</v>
      </c>
      <c r="V1027" s="1" t="str">
        <f>TEXT(Table1[[#This Row],[Hiring Date]],"yyyy")</f>
        <v>2025</v>
      </c>
    </row>
    <row r="1028" spans="1:22">
      <c r="A1028" t="s">
        <v>607</v>
      </c>
      <c r="B1028">
        <v>29</v>
      </c>
      <c r="C1028">
        <v>805</v>
      </c>
      <c r="D1028" t="s">
        <v>14</v>
      </c>
      <c r="E1028" t="s">
        <v>1497</v>
      </c>
      <c r="F1028" t="s">
        <v>1499</v>
      </c>
      <c r="G1028">
        <v>36</v>
      </c>
      <c r="H1028">
        <v>2</v>
      </c>
      <c r="I1028">
        <v>1</v>
      </c>
      <c r="J1028" t="s">
        <v>1484</v>
      </c>
      <c r="K1028" t="s">
        <v>1485</v>
      </c>
      <c r="L1028">
        <v>1</v>
      </c>
      <c r="M1028" t="s">
        <v>15</v>
      </c>
      <c r="N1028">
        <v>1</v>
      </c>
      <c r="O1028" t="s">
        <v>10</v>
      </c>
      <c r="P1028">
        <v>1</v>
      </c>
      <c r="Q1028" s="4">
        <v>45931</v>
      </c>
      <c r="R1028" s="4"/>
      <c r="S1028" t="str">
        <f>TEXT(Table1[[#This Row],[Hiring Date]],"mmmm")</f>
        <v>October</v>
      </c>
      <c r="T1028" s="1">
        <f>COUNTIF(S:S,Table1[[#This Row],[Months List]])</f>
        <v>0</v>
      </c>
      <c r="U1028" t="str">
        <f>TEXT(Table1[[#This Row],[Hiring Date]],"dddd")</f>
        <v>Wednesday</v>
      </c>
      <c r="V1028" s="1" t="str">
        <f>TEXT(Table1[[#This Row],[Hiring Date]],"yyyy")</f>
        <v>2025</v>
      </c>
    </row>
    <row r="1029" spans="1:22">
      <c r="A1029" t="s">
        <v>608</v>
      </c>
      <c r="B1029">
        <v>33</v>
      </c>
      <c r="C1029">
        <v>213</v>
      </c>
      <c r="D1029" t="s">
        <v>14</v>
      </c>
      <c r="E1029" t="s">
        <v>1495</v>
      </c>
      <c r="F1029" t="s">
        <v>1496</v>
      </c>
      <c r="G1029">
        <v>49</v>
      </c>
      <c r="H1029">
        <v>3</v>
      </c>
      <c r="I1029">
        <v>3</v>
      </c>
      <c r="J1029" t="s">
        <v>1487</v>
      </c>
      <c r="K1029" t="s">
        <v>1488</v>
      </c>
      <c r="L1029">
        <v>3</v>
      </c>
      <c r="M1029" t="s">
        <v>15</v>
      </c>
      <c r="N1029">
        <v>0</v>
      </c>
      <c r="O1029" t="s">
        <v>13</v>
      </c>
      <c r="P1029">
        <v>14</v>
      </c>
      <c r="Q1029" s="4">
        <v>45788</v>
      </c>
      <c r="R1029" s="4"/>
      <c r="S1029" t="str">
        <f>TEXT(Table1[[#This Row],[Hiring Date]],"mmmm")</f>
        <v>May</v>
      </c>
      <c r="T1029" s="1">
        <f>COUNTIF(S:S,Table1[[#This Row],[Months List]])</f>
        <v>0</v>
      </c>
      <c r="U1029" t="str">
        <f>TEXT(Table1[[#This Row],[Hiring Date]],"dddd")</f>
        <v>Sunday</v>
      </c>
      <c r="V1029" s="1" t="str">
        <f>TEXT(Table1[[#This Row],[Hiring Date]],"yyyy")</f>
        <v>2025</v>
      </c>
    </row>
    <row r="1030" spans="1:22">
      <c r="A1030" t="s">
        <v>609</v>
      </c>
      <c r="B1030">
        <v>33</v>
      </c>
      <c r="C1030">
        <v>118</v>
      </c>
      <c r="D1030" t="s">
        <v>11</v>
      </c>
      <c r="E1030" t="s">
        <v>1498</v>
      </c>
      <c r="F1030" t="s">
        <v>1499</v>
      </c>
      <c r="G1030">
        <v>69</v>
      </c>
      <c r="H1030">
        <v>3</v>
      </c>
      <c r="I1030">
        <v>2</v>
      </c>
      <c r="J1030" t="s">
        <v>1474</v>
      </c>
      <c r="K1030" t="s">
        <v>1475</v>
      </c>
      <c r="L1030">
        <v>1</v>
      </c>
      <c r="M1030" t="s">
        <v>12</v>
      </c>
      <c r="N1030">
        <v>5</v>
      </c>
      <c r="O1030" t="s">
        <v>13</v>
      </c>
      <c r="P1030">
        <v>6</v>
      </c>
      <c r="Q1030" s="4">
        <v>45837</v>
      </c>
      <c r="R1030" s="4"/>
      <c r="S1030" t="str">
        <f>TEXT(Table1[[#This Row],[Hiring Date]],"mmmm")</f>
        <v>June</v>
      </c>
      <c r="T1030" s="1">
        <f>COUNTIF(S:S,Table1[[#This Row],[Months List]])</f>
        <v>0</v>
      </c>
      <c r="U1030" t="str">
        <f>TEXT(Table1[[#This Row],[Hiring Date]],"dddd")</f>
        <v>Sunday</v>
      </c>
      <c r="V1030" s="1" t="str">
        <f>TEXT(Table1[[#This Row],[Hiring Date]],"yyyy")</f>
        <v>2025</v>
      </c>
    </row>
    <row r="1031" spans="1:22">
      <c r="A1031" t="s">
        <v>610</v>
      </c>
      <c r="B1031">
        <v>47</v>
      </c>
      <c r="C1031">
        <v>202</v>
      </c>
      <c r="D1031" t="s">
        <v>14</v>
      </c>
      <c r="E1031" t="s">
        <v>1500</v>
      </c>
      <c r="F1031" t="s">
        <v>1499</v>
      </c>
      <c r="G1031">
        <v>33</v>
      </c>
      <c r="H1031">
        <v>3</v>
      </c>
      <c r="I1031">
        <v>4</v>
      </c>
      <c r="J1031" t="s">
        <v>1482</v>
      </c>
      <c r="K1031" t="s">
        <v>1483</v>
      </c>
      <c r="L1031">
        <v>4</v>
      </c>
      <c r="M1031" t="s">
        <v>15</v>
      </c>
      <c r="N1031">
        <v>1</v>
      </c>
      <c r="O1031" t="s">
        <v>10</v>
      </c>
      <c r="P1031">
        <v>26</v>
      </c>
      <c r="Q1031" s="4">
        <v>45948</v>
      </c>
      <c r="R1031" s="4"/>
      <c r="S1031" t="str">
        <f>TEXT(Table1[[#This Row],[Hiring Date]],"mmmm")</f>
        <v>October</v>
      </c>
      <c r="T1031" s="1">
        <f>COUNTIF(S:S,Table1[[#This Row],[Months List]])</f>
        <v>0</v>
      </c>
      <c r="U1031" t="str">
        <f>TEXT(Table1[[#This Row],[Hiring Date]],"dddd")</f>
        <v>Saturday</v>
      </c>
      <c r="V1031" s="1" t="str">
        <f>TEXT(Table1[[#This Row],[Hiring Date]],"yyyy")</f>
        <v>2025</v>
      </c>
    </row>
    <row r="1032" spans="1:22">
      <c r="A1032" t="s">
        <v>611</v>
      </c>
      <c r="B1032">
        <v>36</v>
      </c>
      <c r="C1032">
        <v>676</v>
      </c>
      <c r="D1032" t="s">
        <v>14</v>
      </c>
      <c r="E1032" t="s">
        <v>1500</v>
      </c>
      <c r="F1032" t="s">
        <v>1499</v>
      </c>
      <c r="G1032">
        <v>35</v>
      </c>
      <c r="H1032">
        <v>3</v>
      </c>
      <c r="I1032">
        <v>2</v>
      </c>
      <c r="J1032" t="s">
        <v>1480</v>
      </c>
      <c r="K1032" t="s">
        <v>1481</v>
      </c>
      <c r="L1032">
        <v>2</v>
      </c>
      <c r="M1032" t="s">
        <v>15</v>
      </c>
      <c r="N1032">
        <v>0</v>
      </c>
      <c r="O1032" t="s">
        <v>13</v>
      </c>
      <c r="P1032">
        <v>10</v>
      </c>
      <c r="Q1032" s="4">
        <v>45945</v>
      </c>
      <c r="R1032" s="4"/>
      <c r="S1032" t="str">
        <f>TEXT(Table1[[#This Row],[Hiring Date]],"mmmm")</f>
        <v>October</v>
      </c>
      <c r="T1032" s="1">
        <f>COUNTIF(S:S,Table1[[#This Row],[Months List]])</f>
        <v>0</v>
      </c>
      <c r="U1032" t="str">
        <f>TEXT(Table1[[#This Row],[Hiring Date]],"dddd")</f>
        <v>Wednesday</v>
      </c>
      <c r="V1032" s="1" t="str">
        <f>TEXT(Table1[[#This Row],[Hiring Date]],"yyyy")</f>
        <v>2025</v>
      </c>
    </row>
    <row r="1033" spans="1:22">
      <c r="A1033" t="s">
        <v>612</v>
      </c>
      <c r="B1033">
        <v>29</v>
      </c>
      <c r="C1033">
        <v>1252</v>
      </c>
      <c r="D1033" t="s">
        <v>14</v>
      </c>
      <c r="E1033" t="s">
        <v>1497</v>
      </c>
      <c r="F1033" t="s">
        <v>1496</v>
      </c>
      <c r="G1033">
        <v>81</v>
      </c>
      <c r="H1033">
        <v>4</v>
      </c>
      <c r="I1033">
        <v>1</v>
      </c>
      <c r="J1033" t="s">
        <v>1476</v>
      </c>
      <c r="K1033" t="s">
        <v>1477</v>
      </c>
      <c r="L1033">
        <v>3</v>
      </c>
      <c r="M1033" t="s">
        <v>15</v>
      </c>
      <c r="N1033">
        <v>1</v>
      </c>
      <c r="O1033" t="s">
        <v>13</v>
      </c>
      <c r="P1033">
        <v>10</v>
      </c>
      <c r="Q1033" s="4">
        <v>45720</v>
      </c>
      <c r="R1033" s="4"/>
      <c r="S1033" t="str">
        <f>TEXT(Table1[[#This Row],[Hiring Date]],"mmmm")</f>
        <v>March</v>
      </c>
      <c r="T1033" s="1">
        <f>COUNTIF(S:S,Table1[[#This Row],[Months List]])</f>
        <v>0</v>
      </c>
      <c r="U1033" t="str">
        <f>TEXT(Table1[[#This Row],[Hiring Date]],"dddd")</f>
        <v>Tuesday</v>
      </c>
      <c r="V1033" s="1" t="str">
        <f>TEXT(Table1[[#This Row],[Hiring Date]],"yyyy")</f>
        <v>2025</v>
      </c>
    </row>
    <row r="1034" spans="1:22">
      <c r="A1034" t="s">
        <v>613</v>
      </c>
      <c r="B1034">
        <v>58</v>
      </c>
      <c r="C1034">
        <v>286</v>
      </c>
      <c r="D1034" t="s">
        <v>14</v>
      </c>
      <c r="E1034" t="s">
        <v>1497</v>
      </c>
      <c r="F1034" t="s">
        <v>1496</v>
      </c>
      <c r="G1034">
        <v>31</v>
      </c>
      <c r="H1034">
        <v>3</v>
      </c>
      <c r="I1034">
        <v>5</v>
      </c>
      <c r="J1034" t="s">
        <v>1487</v>
      </c>
      <c r="K1034" t="s">
        <v>1488</v>
      </c>
      <c r="L1034">
        <v>2</v>
      </c>
      <c r="M1034" t="s">
        <v>12</v>
      </c>
      <c r="N1034">
        <v>7</v>
      </c>
      <c r="O1034" t="s">
        <v>10</v>
      </c>
      <c r="P1034">
        <v>40</v>
      </c>
      <c r="Q1034" s="4">
        <v>45741</v>
      </c>
      <c r="R1034" s="4"/>
      <c r="S1034" t="str">
        <f>TEXT(Table1[[#This Row],[Hiring Date]],"mmmm")</f>
        <v>March</v>
      </c>
      <c r="T1034" s="1">
        <f>COUNTIF(S:S,Table1[[#This Row],[Months List]])</f>
        <v>0</v>
      </c>
      <c r="U1034" t="str">
        <f>TEXT(Table1[[#This Row],[Hiring Date]],"dddd")</f>
        <v>Tuesday</v>
      </c>
      <c r="V1034" s="1" t="str">
        <f>TEXT(Table1[[#This Row],[Hiring Date]],"yyyy")</f>
        <v>2025</v>
      </c>
    </row>
    <row r="1035" spans="1:22">
      <c r="A1035" t="s">
        <v>614</v>
      </c>
      <c r="B1035">
        <v>35</v>
      </c>
      <c r="C1035">
        <v>1258</v>
      </c>
      <c r="D1035" t="s">
        <v>14</v>
      </c>
      <c r="E1035" t="s">
        <v>1497</v>
      </c>
      <c r="F1035" t="s">
        <v>1499</v>
      </c>
      <c r="G1035">
        <v>40</v>
      </c>
      <c r="H1035">
        <v>4</v>
      </c>
      <c r="I1035">
        <v>1</v>
      </c>
      <c r="J1035" t="s">
        <v>1476</v>
      </c>
      <c r="K1035" t="s">
        <v>1477</v>
      </c>
      <c r="L1035">
        <v>3</v>
      </c>
      <c r="M1035" t="s">
        <v>12</v>
      </c>
      <c r="N1035">
        <v>3</v>
      </c>
      <c r="O1035" t="s">
        <v>13</v>
      </c>
      <c r="P1035">
        <v>7</v>
      </c>
      <c r="Q1035" s="4">
        <v>45709</v>
      </c>
      <c r="R1035" s="4"/>
      <c r="S1035" t="str">
        <f>TEXT(Table1[[#This Row],[Hiring Date]],"mmmm")</f>
        <v>February</v>
      </c>
      <c r="T1035" s="1">
        <f>COUNTIF(S:S,Table1[[#This Row],[Months List]])</f>
        <v>0</v>
      </c>
      <c r="U1035" t="str">
        <f>TEXT(Table1[[#This Row],[Hiring Date]],"dddd")</f>
        <v>Friday</v>
      </c>
      <c r="V1035" s="1" t="str">
        <f>TEXT(Table1[[#This Row],[Hiring Date]],"yyyy")</f>
        <v>2025</v>
      </c>
    </row>
    <row r="1036" spans="1:22">
      <c r="A1036" t="s">
        <v>615</v>
      </c>
      <c r="B1036">
        <v>42</v>
      </c>
      <c r="C1036">
        <v>932</v>
      </c>
      <c r="D1036" t="s">
        <v>14</v>
      </c>
      <c r="E1036" t="s">
        <v>1497</v>
      </c>
      <c r="F1036" t="s">
        <v>1499</v>
      </c>
      <c r="G1036">
        <v>43</v>
      </c>
      <c r="H1036">
        <v>2</v>
      </c>
      <c r="I1036">
        <v>2</v>
      </c>
      <c r="J1036" t="s">
        <v>1480</v>
      </c>
      <c r="K1036" t="s">
        <v>1481</v>
      </c>
      <c r="L1036">
        <v>4</v>
      </c>
      <c r="M1036" t="s">
        <v>15</v>
      </c>
      <c r="N1036">
        <v>9</v>
      </c>
      <c r="O1036" t="s">
        <v>10</v>
      </c>
      <c r="P1036">
        <v>8</v>
      </c>
      <c r="Q1036" s="4">
        <v>45882</v>
      </c>
      <c r="R1036" s="4"/>
      <c r="S1036" t="str">
        <f>TEXT(Table1[[#This Row],[Hiring Date]],"mmmm")</f>
        <v>August</v>
      </c>
      <c r="T1036" s="1">
        <f>COUNTIF(S:S,Table1[[#This Row],[Months List]])</f>
        <v>0</v>
      </c>
      <c r="U1036" t="str">
        <f>TEXT(Table1[[#This Row],[Hiring Date]],"dddd")</f>
        <v>Wednesday</v>
      </c>
      <c r="V1036" s="1" t="str">
        <f>TEXT(Table1[[#This Row],[Hiring Date]],"yyyy")</f>
        <v>2025</v>
      </c>
    </row>
    <row r="1037" spans="1:22">
      <c r="A1037" t="s">
        <v>616</v>
      </c>
      <c r="B1037">
        <v>28</v>
      </c>
      <c r="C1037">
        <v>890</v>
      </c>
      <c r="D1037" t="s">
        <v>14</v>
      </c>
      <c r="E1037" t="s">
        <v>1495</v>
      </c>
      <c r="F1037" t="s">
        <v>1496</v>
      </c>
      <c r="G1037">
        <v>46</v>
      </c>
      <c r="H1037">
        <v>3</v>
      </c>
      <c r="I1037">
        <v>1</v>
      </c>
      <c r="J1037" t="s">
        <v>1476</v>
      </c>
      <c r="K1037" t="s">
        <v>1477</v>
      </c>
      <c r="L1037">
        <v>3</v>
      </c>
      <c r="M1037" t="s">
        <v>12</v>
      </c>
      <c r="N1037">
        <v>6</v>
      </c>
      <c r="O1037" t="s">
        <v>13</v>
      </c>
      <c r="P1037">
        <v>5</v>
      </c>
      <c r="Q1037" s="4">
        <v>45850</v>
      </c>
      <c r="R1037" s="4"/>
      <c r="S1037" t="str">
        <f>TEXT(Table1[[#This Row],[Hiring Date]],"mmmm")</f>
        <v>July</v>
      </c>
      <c r="T1037" s="1">
        <f>COUNTIF(S:S,Table1[[#This Row],[Months List]])</f>
        <v>0</v>
      </c>
      <c r="U1037" t="str">
        <f>TEXT(Table1[[#This Row],[Hiring Date]],"dddd")</f>
        <v>Saturday</v>
      </c>
      <c r="V1037" s="1" t="str">
        <f>TEXT(Table1[[#This Row],[Hiring Date]],"yyyy")</f>
        <v>2025</v>
      </c>
    </row>
    <row r="1038" spans="1:22">
      <c r="A1038" t="s">
        <v>68</v>
      </c>
      <c r="B1038">
        <v>48</v>
      </c>
      <c r="C1038">
        <v>626</v>
      </c>
      <c r="D1038" t="s">
        <v>14</v>
      </c>
      <c r="E1038" t="s">
        <v>1497</v>
      </c>
      <c r="F1038" t="s">
        <v>1496</v>
      </c>
      <c r="G1038">
        <v>98</v>
      </c>
      <c r="H1038">
        <v>2</v>
      </c>
      <c r="I1038">
        <v>3</v>
      </c>
      <c r="J1038" t="s">
        <v>1484</v>
      </c>
      <c r="K1038" t="s">
        <v>1485</v>
      </c>
      <c r="L1038">
        <v>3</v>
      </c>
      <c r="M1038" t="s">
        <v>12</v>
      </c>
      <c r="N1038">
        <v>9</v>
      </c>
      <c r="O1038" t="s">
        <v>10</v>
      </c>
      <c r="P1038">
        <v>23</v>
      </c>
      <c r="Q1038" s="4">
        <v>45981</v>
      </c>
      <c r="R1038" s="4"/>
      <c r="S1038" t="str">
        <f>TEXT(Table1[[#This Row],[Hiring Date]],"mmmm")</f>
        <v>November</v>
      </c>
      <c r="T1038" s="1">
        <f>COUNTIF(S:S,Table1[[#This Row],[Months List]])</f>
        <v>0</v>
      </c>
      <c r="U1038" t="str">
        <f>TEXT(Table1[[#This Row],[Hiring Date]],"dddd")</f>
        <v>Thursday</v>
      </c>
      <c r="V1038" s="1" t="str">
        <f>TEXT(Table1[[#This Row],[Hiring Date]],"yyyy")</f>
        <v>2025</v>
      </c>
    </row>
    <row r="1039" spans="1:22">
      <c r="A1039" t="s">
        <v>617</v>
      </c>
      <c r="B1039">
        <v>36</v>
      </c>
      <c r="C1039">
        <v>1041</v>
      </c>
      <c r="D1039" t="s">
        <v>17</v>
      </c>
      <c r="E1039" t="s">
        <v>17</v>
      </c>
      <c r="F1039" t="s">
        <v>1496</v>
      </c>
      <c r="G1039">
        <v>36</v>
      </c>
      <c r="H1039">
        <v>3</v>
      </c>
      <c r="I1039">
        <v>1</v>
      </c>
      <c r="J1039" t="s">
        <v>1486</v>
      </c>
      <c r="K1039" t="s">
        <v>17</v>
      </c>
      <c r="L1039">
        <v>2</v>
      </c>
      <c r="M1039" t="s">
        <v>15</v>
      </c>
      <c r="N1039">
        <v>4</v>
      </c>
      <c r="O1039" t="s">
        <v>13</v>
      </c>
      <c r="P1039">
        <v>8</v>
      </c>
      <c r="Q1039" s="4">
        <v>45956</v>
      </c>
      <c r="R1039" s="4"/>
      <c r="S1039" t="str">
        <f>TEXT(Table1[[#This Row],[Hiring Date]],"mmmm")</f>
        <v>October</v>
      </c>
      <c r="T1039" s="1">
        <f>COUNTIF(S:S,Table1[[#This Row],[Months List]])</f>
        <v>0</v>
      </c>
      <c r="U1039" t="str">
        <f>TEXT(Table1[[#This Row],[Hiring Date]],"dddd")</f>
        <v>Sunday</v>
      </c>
      <c r="V1039" s="1" t="str">
        <f>TEXT(Table1[[#This Row],[Hiring Date]],"yyyy")</f>
        <v>2025</v>
      </c>
    </row>
    <row r="1040" spans="1:22">
      <c r="A1040" t="s">
        <v>618</v>
      </c>
      <c r="B1040">
        <v>32</v>
      </c>
      <c r="C1040">
        <v>859</v>
      </c>
      <c r="D1040" t="s">
        <v>14</v>
      </c>
      <c r="E1040" t="s">
        <v>1497</v>
      </c>
      <c r="F1040" t="s">
        <v>1499</v>
      </c>
      <c r="G1040">
        <v>98</v>
      </c>
      <c r="H1040">
        <v>2</v>
      </c>
      <c r="I1040">
        <v>2</v>
      </c>
      <c r="J1040" t="s">
        <v>1480</v>
      </c>
      <c r="K1040" t="s">
        <v>1481</v>
      </c>
      <c r="L1040">
        <v>3</v>
      </c>
      <c r="M1040" t="s">
        <v>15</v>
      </c>
      <c r="N1040">
        <v>1</v>
      </c>
      <c r="O1040" t="s">
        <v>13</v>
      </c>
      <c r="P1040">
        <v>14</v>
      </c>
      <c r="Q1040" s="4">
        <v>45780</v>
      </c>
      <c r="R1040" s="4"/>
      <c r="S1040" t="str">
        <f>TEXT(Table1[[#This Row],[Hiring Date]],"mmmm")</f>
        <v>May</v>
      </c>
      <c r="T1040" s="1">
        <f>COUNTIF(S:S,Table1[[#This Row],[Months List]])</f>
        <v>0</v>
      </c>
      <c r="U1040" t="str">
        <f>TEXT(Table1[[#This Row],[Hiring Date]],"dddd")</f>
        <v>Saturday</v>
      </c>
      <c r="V1040" s="1" t="str">
        <f>TEXT(Table1[[#This Row],[Hiring Date]],"yyyy")</f>
        <v>2025</v>
      </c>
    </row>
    <row r="1041" spans="1:22">
      <c r="A1041" t="s">
        <v>619</v>
      </c>
      <c r="B1041">
        <v>40</v>
      </c>
      <c r="C1041">
        <v>720</v>
      </c>
      <c r="D1041" t="s">
        <v>14</v>
      </c>
      <c r="E1041" t="s">
        <v>1495</v>
      </c>
      <c r="F1041" t="s">
        <v>1496</v>
      </c>
      <c r="G1041">
        <v>51</v>
      </c>
      <c r="H1041">
        <v>2</v>
      </c>
      <c r="I1041">
        <v>2</v>
      </c>
      <c r="J1041" t="s">
        <v>1484</v>
      </c>
      <c r="K1041" t="s">
        <v>1485</v>
      </c>
      <c r="L1041">
        <v>3</v>
      </c>
      <c r="M1041" t="s">
        <v>12</v>
      </c>
      <c r="N1041">
        <v>6</v>
      </c>
      <c r="O1041" t="s">
        <v>13</v>
      </c>
      <c r="P1041">
        <v>10</v>
      </c>
      <c r="Q1041" s="4">
        <v>45788</v>
      </c>
      <c r="R1041" s="4"/>
      <c r="S1041" t="str">
        <f>TEXT(Table1[[#This Row],[Hiring Date]],"mmmm")</f>
        <v>May</v>
      </c>
      <c r="T1041" s="1">
        <f>COUNTIF(S:S,Table1[[#This Row],[Months List]])</f>
        <v>0</v>
      </c>
      <c r="U1041" t="str">
        <f>TEXT(Table1[[#This Row],[Hiring Date]],"dddd")</f>
        <v>Sunday</v>
      </c>
      <c r="V1041" s="1" t="str">
        <f>TEXT(Table1[[#This Row],[Hiring Date]],"yyyy")</f>
        <v>2025</v>
      </c>
    </row>
    <row r="1042" spans="1:22">
      <c r="A1042" t="s">
        <v>620</v>
      </c>
      <c r="B1042">
        <v>30</v>
      </c>
      <c r="C1042">
        <v>946</v>
      </c>
      <c r="D1042" t="s">
        <v>14</v>
      </c>
      <c r="E1042" t="s">
        <v>1495</v>
      </c>
      <c r="F1042" t="s">
        <v>1499</v>
      </c>
      <c r="G1042">
        <v>52</v>
      </c>
      <c r="H1042">
        <v>2</v>
      </c>
      <c r="I1042">
        <v>2</v>
      </c>
      <c r="J1042" t="s">
        <v>1480</v>
      </c>
      <c r="K1042" t="s">
        <v>1481</v>
      </c>
      <c r="L1042">
        <v>4</v>
      </c>
      <c r="M1042" t="s">
        <v>12</v>
      </c>
      <c r="N1042">
        <v>5</v>
      </c>
      <c r="O1042" t="s">
        <v>10</v>
      </c>
      <c r="P1042">
        <v>12</v>
      </c>
      <c r="Q1042" s="4">
        <v>45900</v>
      </c>
      <c r="R1042" s="4"/>
      <c r="S1042" t="str">
        <f>TEXT(Table1[[#This Row],[Hiring Date]],"mmmm")</f>
        <v>August</v>
      </c>
      <c r="T1042" s="1">
        <f>COUNTIF(S:S,Table1[[#This Row],[Months List]])</f>
        <v>0</v>
      </c>
      <c r="U1042" t="str">
        <f>TEXT(Table1[[#This Row],[Hiring Date]],"dddd")</f>
        <v>Sunday</v>
      </c>
      <c r="V1042" s="1" t="str">
        <f>TEXT(Table1[[#This Row],[Hiring Date]],"yyyy")</f>
        <v>2025</v>
      </c>
    </row>
    <row r="1043" spans="1:22">
      <c r="A1043" t="s">
        <v>621</v>
      </c>
      <c r="B1043">
        <v>45</v>
      </c>
      <c r="C1043">
        <v>252</v>
      </c>
      <c r="D1043" t="s">
        <v>14</v>
      </c>
      <c r="E1043" t="s">
        <v>1497</v>
      </c>
      <c r="F1043" t="s">
        <v>1499</v>
      </c>
      <c r="G1043">
        <v>95</v>
      </c>
      <c r="H1043">
        <v>2</v>
      </c>
      <c r="I1043">
        <v>1</v>
      </c>
      <c r="J1043" t="s">
        <v>1476</v>
      </c>
      <c r="K1043" t="s">
        <v>1477</v>
      </c>
      <c r="L1043">
        <v>3</v>
      </c>
      <c r="M1043" t="s">
        <v>12</v>
      </c>
      <c r="N1043">
        <v>1</v>
      </c>
      <c r="O1043" t="s">
        <v>13</v>
      </c>
      <c r="P1043">
        <v>1</v>
      </c>
      <c r="Q1043" s="4">
        <v>45694</v>
      </c>
      <c r="R1043" s="4"/>
      <c r="S1043" t="str">
        <f>TEXT(Table1[[#This Row],[Hiring Date]],"mmmm")</f>
        <v>February</v>
      </c>
      <c r="T1043" s="1">
        <f>COUNTIF(S:S,Table1[[#This Row],[Months List]])</f>
        <v>0</v>
      </c>
      <c r="U1043" t="str">
        <f>TEXT(Table1[[#This Row],[Hiring Date]],"dddd")</f>
        <v>Thursday</v>
      </c>
      <c r="V1043" s="1" t="str">
        <f>TEXT(Table1[[#This Row],[Hiring Date]],"yyyy")</f>
        <v>2025</v>
      </c>
    </row>
    <row r="1044" spans="1:22">
      <c r="A1044" t="s">
        <v>622</v>
      </c>
      <c r="B1044">
        <v>42</v>
      </c>
      <c r="C1044">
        <v>933</v>
      </c>
      <c r="D1044" t="s">
        <v>14</v>
      </c>
      <c r="E1044" t="s">
        <v>1497</v>
      </c>
      <c r="F1044" t="s">
        <v>1496</v>
      </c>
      <c r="G1044">
        <v>98</v>
      </c>
      <c r="H1044">
        <v>3</v>
      </c>
      <c r="I1044">
        <v>2</v>
      </c>
      <c r="J1044" t="s">
        <v>1480</v>
      </c>
      <c r="K1044" t="s">
        <v>1481</v>
      </c>
      <c r="L1044">
        <v>2</v>
      </c>
      <c r="M1044" t="s">
        <v>15</v>
      </c>
      <c r="N1044">
        <v>1</v>
      </c>
      <c r="O1044" t="s">
        <v>13</v>
      </c>
      <c r="P1044">
        <v>10</v>
      </c>
      <c r="Q1044" s="4">
        <v>45966</v>
      </c>
      <c r="R1044" s="4"/>
      <c r="S1044" t="str">
        <f>TEXT(Table1[[#This Row],[Hiring Date]],"mmmm")</f>
        <v>November</v>
      </c>
      <c r="T1044" s="1">
        <f>COUNTIF(S:S,Table1[[#This Row],[Months List]])</f>
        <v>0</v>
      </c>
      <c r="U1044" t="str">
        <f>TEXT(Table1[[#This Row],[Hiring Date]],"dddd")</f>
        <v>Wednesday</v>
      </c>
      <c r="V1044" s="1" t="str">
        <f>TEXT(Table1[[#This Row],[Hiring Date]],"yyyy")</f>
        <v>2025</v>
      </c>
    </row>
    <row r="1045" spans="1:22">
      <c r="A1045" t="s">
        <v>623</v>
      </c>
      <c r="B1045">
        <v>38</v>
      </c>
      <c r="C1045">
        <v>471</v>
      </c>
      <c r="D1045" t="s">
        <v>14</v>
      </c>
      <c r="E1045" t="s">
        <v>1497</v>
      </c>
      <c r="F1045" t="s">
        <v>1496</v>
      </c>
      <c r="G1045">
        <v>45</v>
      </c>
      <c r="H1045">
        <v>2</v>
      </c>
      <c r="I1045">
        <v>2</v>
      </c>
      <c r="J1045" t="s">
        <v>1478</v>
      </c>
      <c r="K1045" t="s">
        <v>1479</v>
      </c>
      <c r="L1045">
        <v>1</v>
      </c>
      <c r="M1045" t="s">
        <v>16</v>
      </c>
      <c r="N1045">
        <v>2</v>
      </c>
      <c r="O1045" t="s">
        <v>13</v>
      </c>
      <c r="P1045">
        <v>13</v>
      </c>
      <c r="Q1045" s="4">
        <v>45682</v>
      </c>
      <c r="R1045" s="4"/>
      <c r="S1045" t="str">
        <f>TEXT(Table1[[#This Row],[Hiring Date]],"mmmm")</f>
        <v>January</v>
      </c>
      <c r="T1045" s="1">
        <f>COUNTIF(S:S,Table1[[#This Row],[Months List]])</f>
        <v>0</v>
      </c>
      <c r="U1045" t="str">
        <f>TEXT(Table1[[#This Row],[Hiring Date]],"dddd")</f>
        <v>Saturday</v>
      </c>
      <c r="V1045" s="1" t="str">
        <f>TEXT(Table1[[#This Row],[Hiring Date]],"yyyy")</f>
        <v>2025</v>
      </c>
    </row>
    <row r="1046" spans="1:22">
      <c r="A1046" t="s">
        <v>624</v>
      </c>
      <c r="B1046">
        <v>34</v>
      </c>
      <c r="C1046">
        <v>702</v>
      </c>
      <c r="D1046" t="s">
        <v>14</v>
      </c>
      <c r="E1046" t="s">
        <v>1497</v>
      </c>
      <c r="F1046" t="s">
        <v>1499</v>
      </c>
      <c r="G1046">
        <v>100</v>
      </c>
      <c r="H1046">
        <v>2</v>
      </c>
      <c r="I1046">
        <v>1</v>
      </c>
      <c r="J1046" t="s">
        <v>1476</v>
      </c>
      <c r="K1046" t="s">
        <v>1477</v>
      </c>
      <c r="L1046">
        <v>4</v>
      </c>
      <c r="M1046" t="s">
        <v>12</v>
      </c>
      <c r="N1046">
        <v>1</v>
      </c>
      <c r="O1046" t="s">
        <v>13</v>
      </c>
      <c r="P1046">
        <v>6</v>
      </c>
      <c r="Q1046" s="4">
        <v>45768</v>
      </c>
      <c r="R1046" s="4"/>
      <c r="S1046" t="str">
        <f>TEXT(Table1[[#This Row],[Hiring Date]],"mmmm")</f>
        <v>April</v>
      </c>
      <c r="T1046" s="1">
        <f>COUNTIF(S:S,Table1[[#This Row],[Months List]])</f>
        <v>0</v>
      </c>
      <c r="U1046" t="str">
        <f>TEXT(Table1[[#This Row],[Hiring Date]],"dddd")</f>
        <v>Monday</v>
      </c>
      <c r="V1046" s="1" t="str">
        <f>TEXT(Table1[[#This Row],[Hiring Date]],"yyyy")</f>
        <v>2025</v>
      </c>
    </row>
    <row r="1047" spans="1:22">
      <c r="A1047" t="s">
        <v>625</v>
      </c>
      <c r="B1047">
        <v>49</v>
      </c>
      <c r="C1047">
        <v>1184</v>
      </c>
      <c r="D1047" t="s">
        <v>11</v>
      </c>
      <c r="E1047" t="s">
        <v>1498</v>
      </c>
      <c r="F1047" t="s">
        <v>1499</v>
      </c>
      <c r="G1047">
        <v>43</v>
      </c>
      <c r="H1047">
        <v>3</v>
      </c>
      <c r="I1047">
        <v>3</v>
      </c>
      <c r="J1047" t="s">
        <v>1474</v>
      </c>
      <c r="K1047" t="s">
        <v>1475</v>
      </c>
      <c r="L1047">
        <v>4</v>
      </c>
      <c r="M1047" t="s">
        <v>15</v>
      </c>
      <c r="N1047">
        <v>1</v>
      </c>
      <c r="O1047" t="s">
        <v>13</v>
      </c>
      <c r="P1047">
        <v>9</v>
      </c>
      <c r="Q1047" s="4">
        <v>45940</v>
      </c>
      <c r="R1047" s="4"/>
      <c r="S1047" t="str">
        <f>TEXT(Table1[[#This Row],[Hiring Date]],"mmmm")</f>
        <v>October</v>
      </c>
      <c r="T1047" s="1">
        <f>COUNTIF(S:S,Table1[[#This Row],[Months List]])</f>
        <v>0</v>
      </c>
      <c r="U1047" t="str">
        <f>TEXT(Table1[[#This Row],[Hiring Date]],"dddd")</f>
        <v>Friday</v>
      </c>
      <c r="V1047" s="1" t="str">
        <f>TEXT(Table1[[#This Row],[Hiring Date]],"yyyy")</f>
        <v>2025</v>
      </c>
    </row>
    <row r="1048" spans="1:22">
      <c r="A1048" t="s">
        <v>626</v>
      </c>
      <c r="B1048">
        <v>55</v>
      </c>
      <c r="C1048">
        <v>436</v>
      </c>
      <c r="D1048" t="s">
        <v>11</v>
      </c>
      <c r="E1048" t="s">
        <v>1495</v>
      </c>
      <c r="F1048" t="s">
        <v>1496</v>
      </c>
      <c r="G1048">
        <v>37</v>
      </c>
      <c r="H1048">
        <v>3</v>
      </c>
      <c r="I1048">
        <v>2</v>
      </c>
      <c r="J1048" t="s">
        <v>1474</v>
      </c>
      <c r="K1048" t="s">
        <v>1475</v>
      </c>
      <c r="L1048">
        <v>4</v>
      </c>
      <c r="M1048" t="s">
        <v>12</v>
      </c>
      <c r="N1048">
        <v>4</v>
      </c>
      <c r="O1048" t="s">
        <v>13</v>
      </c>
      <c r="P1048">
        <v>12</v>
      </c>
      <c r="Q1048" s="4">
        <v>45662</v>
      </c>
      <c r="R1048" s="4"/>
      <c r="S1048" t="str">
        <f>TEXT(Table1[[#This Row],[Hiring Date]],"mmmm")</f>
        <v>January</v>
      </c>
      <c r="T1048" s="1">
        <f>COUNTIF(S:S,Table1[[#This Row],[Months List]])</f>
        <v>0</v>
      </c>
      <c r="U1048" t="str">
        <f>TEXT(Table1[[#This Row],[Hiring Date]],"dddd")</f>
        <v>Sunday</v>
      </c>
      <c r="V1048" s="1" t="str">
        <f>TEXT(Table1[[#This Row],[Hiring Date]],"yyyy")</f>
        <v>2025</v>
      </c>
    </row>
    <row r="1049" spans="1:22">
      <c r="A1049" t="s">
        <v>69</v>
      </c>
      <c r="B1049">
        <v>28</v>
      </c>
      <c r="C1049">
        <v>1434</v>
      </c>
      <c r="D1049" t="s">
        <v>14</v>
      </c>
      <c r="E1049" t="s">
        <v>1501</v>
      </c>
      <c r="F1049" t="s">
        <v>1496</v>
      </c>
      <c r="G1049">
        <v>50</v>
      </c>
      <c r="H1049">
        <v>3</v>
      </c>
      <c r="I1049">
        <v>1</v>
      </c>
      <c r="J1049" t="s">
        <v>1484</v>
      </c>
      <c r="K1049" t="s">
        <v>1485</v>
      </c>
      <c r="L1049">
        <v>3</v>
      </c>
      <c r="M1049" t="s">
        <v>12</v>
      </c>
      <c r="N1049">
        <v>1</v>
      </c>
      <c r="O1049" t="s">
        <v>10</v>
      </c>
      <c r="P1049">
        <v>2</v>
      </c>
      <c r="Q1049" s="4">
        <v>45956</v>
      </c>
      <c r="R1049" s="4"/>
      <c r="S1049" t="str">
        <f>TEXT(Table1[[#This Row],[Hiring Date]],"mmmm")</f>
        <v>October</v>
      </c>
      <c r="T1049" s="1">
        <f>COUNTIF(S:S,Table1[[#This Row],[Months List]])</f>
        <v>0</v>
      </c>
      <c r="U1049" t="str">
        <f>TEXT(Table1[[#This Row],[Hiring Date]],"dddd")</f>
        <v>Sunday</v>
      </c>
      <c r="V1049" s="1" t="str">
        <f>TEXT(Table1[[#This Row],[Hiring Date]],"yyyy")</f>
        <v>2025</v>
      </c>
    </row>
    <row r="1050" spans="1:22">
      <c r="A1050" t="s">
        <v>627</v>
      </c>
      <c r="B1050">
        <v>43</v>
      </c>
      <c r="C1050">
        <v>589</v>
      </c>
      <c r="D1050" t="s">
        <v>14</v>
      </c>
      <c r="E1050" t="s">
        <v>1497</v>
      </c>
      <c r="F1050" t="s">
        <v>1496</v>
      </c>
      <c r="G1050">
        <v>94</v>
      </c>
      <c r="H1050">
        <v>3</v>
      </c>
      <c r="I1050">
        <v>4</v>
      </c>
      <c r="J1050" t="s">
        <v>1487</v>
      </c>
      <c r="K1050" t="s">
        <v>1488</v>
      </c>
      <c r="L1050">
        <v>1</v>
      </c>
      <c r="M1050" t="s">
        <v>15</v>
      </c>
      <c r="N1050">
        <v>6</v>
      </c>
      <c r="O1050" t="s">
        <v>13</v>
      </c>
      <c r="P1050">
        <v>22</v>
      </c>
      <c r="Q1050" s="4">
        <v>45683</v>
      </c>
      <c r="R1050" s="4"/>
      <c r="S1050" t="str">
        <f>TEXT(Table1[[#This Row],[Hiring Date]],"mmmm")</f>
        <v>January</v>
      </c>
      <c r="T1050" s="1">
        <f>COUNTIF(S:S,Table1[[#This Row],[Months List]])</f>
        <v>0</v>
      </c>
      <c r="U1050" t="str">
        <f>TEXT(Table1[[#This Row],[Hiring Date]],"dddd")</f>
        <v>Sunday</v>
      </c>
      <c r="V1050" s="1" t="str">
        <f>TEXT(Table1[[#This Row],[Hiring Date]],"yyyy")</f>
        <v>2025</v>
      </c>
    </row>
    <row r="1051" spans="1:22">
      <c r="A1051" t="s">
        <v>628</v>
      </c>
      <c r="B1051">
        <v>27</v>
      </c>
      <c r="C1051">
        <v>269</v>
      </c>
      <c r="D1051" t="s">
        <v>14</v>
      </c>
      <c r="E1051" t="s">
        <v>1501</v>
      </c>
      <c r="F1051" t="s">
        <v>1496</v>
      </c>
      <c r="G1051">
        <v>42</v>
      </c>
      <c r="H1051">
        <v>2</v>
      </c>
      <c r="I1051">
        <v>3</v>
      </c>
      <c r="J1051" t="s">
        <v>1487</v>
      </c>
      <c r="K1051" t="s">
        <v>1488</v>
      </c>
      <c r="L1051">
        <v>4</v>
      </c>
      <c r="M1051" t="s">
        <v>16</v>
      </c>
      <c r="N1051">
        <v>1</v>
      </c>
      <c r="O1051" t="s">
        <v>10</v>
      </c>
      <c r="P1051">
        <v>9</v>
      </c>
      <c r="Q1051" s="4">
        <v>45787</v>
      </c>
      <c r="R1051" s="4"/>
      <c r="S1051" t="str">
        <f>TEXT(Table1[[#This Row],[Hiring Date]],"mmmm")</f>
        <v>May</v>
      </c>
      <c r="T1051" s="1">
        <f>COUNTIF(S:S,Table1[[#This Row],[Months List]])</f>
        <v>0</v>
      </c>
      <c r="U1051" t="str">
        <f>TEXT(Table1[[#This Row],[Hiring Date]],"dddd")</f>
        <v>Saturday</v>
      </c>
      <c r="V1051" s="1" t="str">
        <f>TEXT(Table1[[#This Row],[Hiring Date]],"yyyy")</f>
        <v>2025</v>
      </c>
    </row>
    <row r="1052" spans="1:22">
      <c r="A1052" t="s">
        <v>629</v>
      </c>
      <c r="B1052">
        <v>35</v>
      </c>
      <c r="C1052">
        <v>950</v>
      </c>
      <c r="D1052" t="s">
        <v>14</v>
      </c>
      <c r="E1052" t="s">
        <v>1500</v>
      </c>
      <c r="F1052" t="s">
        <v>1496</v>
      </c>
      <c r="G1052">
        <v>59</v>
      </c>
      <c r="H1052">
        <v>3</v>
      </c>
      <c r="I1052">
        <v>3</v>
      </c>
      <c r="J1052" t="s">
        <v>1480</v>
      </c>
      <c r="K1052" t="s">
        <v>1481</v>
      </c>
      <c r="L1052">
        <v>3</v>
      </c>
      <c r="M1052" t="s">
        <v>12</v>
      </c>
      <c r="N1052">
        <v>3</v>
      </c>
      <c r="O1052" t="s">
        <v>13</v>
      </c>
      <c r="P1052">
        <v>17</v>
      </c>
      <c r="Q1052" s="4">
        <v>45702</v>
      </c>
      <c r="R1052" s="4"/>
      <c r="S1052" t="str">
        <f>TEXT(Table1[[#This Row],[Hiring Date]],"mmmm")</f>
        <v>February</v>
      </c>
      <c r="T1052" s="1">
        <f>COUNTIF(S:S,Table1[[#This Row],[Months List]])</f>
        <v>0</v>
      </c>
      <c r="U1052" t="str">
        <f>TEXT(Table1[[#This Row],[Hiring Date]],"dddd")</f>
        <v>Friday</v>
      </c>
      <c r="V1052" s="1" t="str">
        <f>TEXT(Table1[[#This Row],[Hiring Date]],"yyyy")</f>
        <v>2025</v>
      </c>
    </row>
    <row r="1053" spans="1:22">
      <c r="A1053" t="s">
        <v>630</v>
      </c>
      <c r="B1053">
        <v>28</v>
      </c>
      <c r="C1053">
        <v>760</v>
      </c>
      <c r="D1053" t="s">
        <v>11</v>
      </c>
      <c r="E1053" t="s">
        <v>1498</v>
      </c>
      <c r="F1053" t="s">
        <v>1499</v>
      </c>
      <c r="G1053">
        <v>81</v>
      </c>
      <c r="H1053">
        <v>3</v>
      </c>
      <c r="I1053">
        <v>2</v>
      </c>
      <c r="J1053" t="s">
        <v>1474</v>
      </c>
      <c r="K1053" t="s">
        <v>1475</v>
      </c>
      <c r="L1053">
        <v>2</v>
      </c>
      <c r="M1053" t="s">
        <v>15</v>
      </c>
      <c r="N1053">
        <v>1</v>
      </c>
      <c r="O1053" t="s">
        <v>10</v>
      </c>
      <c r="P1053">
        <v>8</v>
      </c>
      <c r="Q1053" s="4">
        <v>45874</v>
      </c>
      <c r="R1053" s="4"/>
      <c r="S1053" t="str">
        <f>TEXT(Table1[[#This Row],[Hiring Date]],"mmmm")</f>
        <v>August</v>
      </c>
      <c r="T1053" s="1">
        <f>COUNTIF(S:S,Table1[[#This Row],[Months List]])</f>
        <v>0</v>
      </c>
      <c r="U1053" t="str">
        <f>TEXT(Table1[[#This Row],[Hiring Date]],"dddd")</f>
        <v>Tuesday</v>
      </c>
      <c r="V1053" s="1" t="str">
        <f>TEXT(Table1[[#This Row],[Hiring Date]],"yyyy")</f>
        <v>2025</v>
      </c>
    </row>
    <row r="1054" spans="1:22">
      <c r="A1054" t="s">
        <v>631</v>
      </c>
      <c r="B1054">
        <v>34</v>
      </c>
      <c r="C1054">
        <v>829</v>
      </c>
      <c r="D1054" t="s">
        <v>17</v>
      </c>
      <c r="E1054" t="s">
        <v>17</v>
      </c>
      <c r="F1054" t="s">
        <v>1496</v>
      </c>
      <c r="G1054">
        <v>88</v>
      </c>
      <c r="H1054">
        <v>3</v>
      </c>
      <c r="I1054">
        <v>1</v>
      </c>
      <c r="J1054" t="s">
        <v>1486</v>
      </c>
      <c r="K1054" t="s">
        <v>17</v>
      </c>
      <c r="L1054">
        <v>4</v>
      </c>
      <c r="M1054" t="s">
        <v>15</v>
      </c>
      <c r="N1054">
        <v>0</v>
      </c>
      <c r="O1054" t="s">
        <v>13</v>
      </c>
      <c r="P1054">
        <v>4</v>
      </c>
      <c r="Q1054" s="4">
        <v>45838</v>
      </c>
      <c r="R1054" s="4"/>
      <c r="S1054" t="str">
        <f>TEXT(Table1[[#This Row],[Hiring Date]],"mmmm")</f>
        <v>June</v>
      </c>
      <c r="T1054" s="1">
        <f>COUNTIF(S:S,Table1[[#This Row],[Months List]])</f>
        <v>0</v>
      </c>
      <c r="U1054" t="str">
        <f>TEXT(Table1[[#This Row],[Hiring Date]],"dddd")</f>
        <v>Monday</v>
      </c>
      <c r="V1054" s="1" t="str">
        <f>TEXT(Table1[[#This Row],[Hiring Date]],"yyyy")</f>
        <v>2025</v>
      </c>
    </row>
    <row r="1055" spans="1:22">
      <c r="A1055" t="s">
        <v>632</v>
      </c>
      <c r="B1055">
        <v>26</v>
      </c>
      <c r="C1055">
        <v>887</v>
      </c>
      <c r="D1055" t="s">
        <v>14</v>
      </c>
      <c r="E1055" t="s">
        <v>1495</v>
      </c>
      <c r="F1055" t="s">
        <v>1499</v>
      </c>
      <c r="G1055">
        <v>88</v>
      </c>
      <c r="H1055">
        <v>2</v>
      </c>
      <c r="I1055">
        <v>1</v>
      </c>
      <c r="J1055" t="s">
        <v>1476</v>
      </c>
      <c r="K1055" t="s">
        <v>1477</v>
      </c>
      <c r="L1055">
        <v>3</v>
      </c>
      <c r="M1055" t="s">
        <v>15</v>
      </c>
      <c r="N1055">
        <v>1</v>
      </c>
      <c r="O1055" t="s">
        <v>10</v>
      </c>
      <c r="P1055">
        <v>8</v>
      </c>
      <c r="Q1055" s="4">
        <v>45874</v>
      </c>
      <c r="R1055" s="4"/>
      <c r="S1055" t="str">
        <f>TEXT(Table1[[#This Row],[Hiring Date]],"mmmm")</f>
        <v>August</v>
      </c>
      <c r="T1055" s="1">
        <f>COUNTIF(S:S,Table1[[#This Row],[Months List]])</f>
        <v>0</v>
      </c>
      <c r="U1055" t="str">
        <f>TEXT(Table1[[#This Row],[Hiring Date]],"dddd")</f>
        <v>Tuesday</v>
      </c>
      <c r="V1055" s="1" t="str">
        <f>TEXT(Table1[[#This Row],[Hiring Date]],"yyyy")</f>
        <v>2025</v>
      </c>
    </row>
    <row r="1056" spans="1:22">
      <c r="A1056" t="s">
        <v>633</v>
      </c>
      <c r="B1056">
        <v>27</v>
      </c>
      <c r="C1056">
        <v>443</v>
      </c>
      <c r="D1056" t="s">
        <v>14</v>
      </c>
      <c r="E1056" t="s">
        <v>1495</v>
      </c>
      <c r="F1056" t="s">
        <v>1496</v>
      </c>
      <c r="G1056">
        <v>50</v>
      </c>
      <c r="H1056">
        <v>3</v>
      </c>
      <c r="I1056">
        <v>1</v>
      </c>
      <c r="J1056" t="s">
        <v>1476</v>
      </c>
      <c r="K1056" t="s">
        <v>1477</v>
      </c>
      <c r="L1056">
        <v>4</v>
      </c>
      <c r="M1056" t="s">
        <v>15</v>
      </c>
      <c r="N1056">
        <v>1</v>
      </c>
      <c r="O1056" t="s">
        <v>13</v>
      </c>
      <c r="P1056">
        <v>0</v>
      </c>
      <c r="Q1056" s="4">
        <v>45785</v>
      </c>
      <c r="R1056" s="4"/>
      <c r="S1056" t="str">
        <f>TEXT(Table1[[#This Row],[Hiring Date]],"mmmm")</f>
        <v>May</v>
      </c>
      <c r="T1056" s="1">
        <f>COUNTIF(S:S,Table1[[#This Row],[Months List]])</f>
        <v>0</v>
      </c>
      <c r="U1056" t="str">
        <f>TEXT(Table1[[#This Row],[Hiring Date]],"dddd")</f>
        <v>Thursday</v>
      </c>
      <c r="V1056" s="1" t="str">
        <f>TEXT(Table1[[#This Row],[Hiring Date]],"yyyy")</f>
        <v>2025</v>
      </c>
    </row>
    <row r="1057" spans="1:22">
      <c r="A1057" t="s">
        <v>634</v>
      </c>
      <c r="B1057">
        <v>51</v>
      </c>
      <c r="C1057">
        <v>1318</v>
      </c>
      <c r="D1057" t="s">
        <v>11</v>
      </c>
      <c r="E1057" t="s">
        <v>1498</v>
      </c>
      <c r="F1057" t="s">
        <v>1499</v>
      </c>
      <c r="G1057">
        <v>66</v>
      </c>
      <c r="H1057">
        <v>3</v>
      </c>
      <c r="I1057">
        <v>4</v>
      </c>
      <c r="J1057" t="s">
        <v>1482</v>
      </c>
      <c r="K1057" t="s">
        <v>1483</v>
      </c>
      <c r="L1057">
        <v>3</v>
      </c>
      <c r="M1057" t="s">
        <v>15</v>
      </c>
      <c r="N1057">
        <v>2</v>
      </c>
      <c r="O1057" t="s">
        <v>13</v>
      </c>
      <c r="P1057">
        <v>29</v>
      </c>
      <c r="Q1057" s="4">
        <v>45815</v>
      </c>
      <c r="R1057" s="4"/>
      <c r="S1057" t="str">
        <f>TEXT(Table1[[#This Row],[Hiring Date]],"mmmm")</f>
        <v>June</v>
      </c>
      <c r="T1057" s="1">
        <f>COUNTIF(S:S,Table1[[#This Row],[Months List]])</f>
        <v>0</v>
      </c>
      <c r="U1057" t="str">
        <f>TEXT(Table1[[#This Row],[Hiring Date]],"dddd")</f>
        <v>Saturday</v>
      </c>
      <c r="V1057" s="1" t="str">
        <f>TEXT(Table1[[#This Row],[Hiring Date]],"yyyy")</f>
        <v>2025</v>
      </c>
    </row>
    <row r="1058" spans="1:22">
      <c r="A1058" t="s">
        <v>635</v>
      </c>
      <c r="B1058">
        <v>44</v>
      </c>
      <c r="C1058">
        <v>625</v>
      </c>
      <c r="D1058" t="s">
        <v>14</v>
      </c>
      <c r="E1058" t="s">
        <v>1495</v>
      </c>
      <c r="F1058" t="s">
        <v>1496</v>
      </c>
      <c r="G1058">
        <v>50</v>
      </c>
      <c r="H1058">
        <v>3</v>
      </c>
      <c r="I1058">
        <v>2</v>
      </c>
      <c r="J1058" t="s">
        <v>1478</v>
      </c>
      <c r="K1058" t="s">
        <v>1479</v>
      </c>
      <c r="L1058">
        <v>2</v>
      </c>
      <c r="M1058" t="s">
        <v>12</v>
      </c>
      <c r="N1058">
        <v>9</v>
      </c>
      <c r="O1058" t="s">
        <v>13</v>
      </c>
      <c r="P1058">
        <v>10</v>
      </c>
      <c r="Q1058" s="4">
        <v>45915</v>
      </c>
      <c r="R1058" s="4"/>
      <c r="S1058" t="str">
        <f>TEXT(Table1[[#This Row],[Hiring Date]],"mmmm")</f>
        <v>September</v>
      </c>
      <c r="T1058" s="1">
        <f>COUNTIF(S:S,Table1[[#This Row],[Months List]])</f>
        <v>0</v>
      </c>
      <c r="U1058" t="str">
        <f>TEXT(Table1[[#This Row],[Hiring Date]],"dddd")</f>
        <v>Monday</v>
      </c>
      <c r="V1058" s="1" t="str">
        <f>TEXT(Table1[[#This Row],[Hiring Date]],"yyyy")</f>
        <v>2025</v>
      </c>
    </row>
    <row r="1059" spans="1:22">
      <c r="A1059" t="s">
        <v>636</v>
      </c>
      <c r="B1059">
        <v>25</v>
      </c>
      <c r="C1059">
        <v>180</v>
      </c>
      <c r="D1059" t="s">
        <v>14</v>
      </c>
      <c r="E1059" t="s">
        <v>1495</v>
      </c>
      <c r="F1059" t="s">
        <v>1496</v>
      </c>
      <c r="G1059">
        <v>65</v>
      </c>
      <c r="H1059">
        <v>4</v>
      </c>
      <c r="I1059">
        <v>1</v>
      </c>
      <c r="J1059" t="s">
        <v>1476</v>
      </c>
      <c r="K1059" t="s">
        <v>1477</v>
      </c>
      <c r="L1059">
        <v>1</v>
      </c>
      <c r="M1059" t="s">
        <v>12</v>
      </c>
      <c r="N1059">
        <v>7</v>
      </c>
      <c r="O1059" t="s">
        <v>13</v>
      </c>
      <c r="P1059">
        <v>6</v>
      </c>
      <c r="Q1059" s="4">
        <v>45773</v>
      </c>
      <c r="R1059" s="4"/>
      <c r="S1059" t="str">
        <f>TEXT(Table1[[#This Row],[Hiring Date]],"mmmm")</f>
        <v>April</v>
      </c>
      <c r="T1059" s="1">
        <f>COUNTIF(S:S,Table1[[#This Row],[Months List]])</f>
        <v>0</v>
      </c>
      <c r="U1059" t="str">
        <f>TEXT(Table1[[#This Row],[Hiring Date]],"dddd")</f>
        <v>Saturday</v>
      </c>
      <c r="V1059" s="1" t="str">
        <f>TEXT(Table1[[#This Row],[Hiring Date]],"yyyy")</f>
        <v>2025</v>
      </c>
    </row>
    <row r="1060" spans="1:22">
      <c r="A1060" t="s">
        <v>70</v>
      </c>
      <c r="B1060">
        <v>44</v>
      </c>
      <c r="C1060">
        <v>1488</v>
      </c>
      <c r="D1060" t="s">
        <v>11</v>
      </c>
      <c r="E1060" t="s">
        <v>1498</v>
      </c>
      <c r="F1060" t="s">
        <v>1499</v>
      </c>
      <c r="G1060">
        <v>75</v>
      </c>
      <c r="H1060">
        <v>3</v>
      </c>
      <c r="I1060">
        <v>2</v>
      </c>
      <c r="J1060" t="s">
        <v>1474</v>
      </c>
      <c r="K1060" t="s">
        <v>1475</v>
      </c>
      <c r="L1060">
        <v>1</v>
      </c>
      <c r="M1060" t="s">
        <v>16</v>
      </c>
      <c r="N1060">
        <v>5</v>
      </c>
      <c r="O1060" t="s">
        <v>10</v>
      </c>
      <c r="P1060">
        <v>9</v>
      </c>
      <c r="Q1060" s="4">
        <v>45838</v>
      </c>
      <c r="R1060" s="4"/>
      <c r="S1060" t="str">
        <f>TEXT(Table1[[#This Row],[Hiring Date]],"mmmm")</f>
        <v>June</v>
      </c>
      <c r="T1060" s="1">
        <f>COUNTIF(S:S,Table1[[#This Row],[Months List]])</f>
        <v>0</v>
      </c>
      <c r="U1060" t="str">
        <f>TEXT(Table1[[#This Row],[Hiring Date]],"dddd")</f>
        <v>Monday</v>
      </c>
      <c r="V1060" s="1" t="str">
        <f>TEXT(Table1[[#This Row],[Hiring Date]],"yyyy")</f>
        <v>2025</v>
      </c>
    </row>
    <row r="1061" spans="1:22">
      <c r="A1061" t="s">
        <v>637</v>
      </c>
      <c r="B1061">
        <v>33</v>
      </c>
      <c r="C1061">
        <v>586</v>
      </c>
      <c r="D1061" t="s">
        <v>11</v>
      </c>
      <c r="E1061" t="s">
        <v>1495</v>
      </c>
      <c r="F1061" t="s">
        <v>1496</v>
      </c>
      <c r="G1061">
        <v>48</v>
      </c>
      <c r="H1061">
        <v>4</v>
      </c>
      <c r="I1061">
        <v>2</v>
      </c>
      <c r="J1061" t="s">
        <v>1474</v>
      </c>
      <c r="K1061" t="s">
        <v>1475</v>
      </c>
      <c r="L1061">
        <v>1</v>
      </c>
      <c r="M1061" t="s">
        <v>16</v>
      </c>
      <c r="N1061">
        <v>1</v>
      </c>
      <c r="O1061" t="s">
        <v>13</v>
      </c>
      <c r="P1061">
        <v>9</v>
      </c>
      <c r="Q1061" s="4">
        <v>45722</v>
      </c>
      <c r="R1061" s="4"/>
      <c r="S1061" t="str">
        <f>TEXT(Table1[[#This Row],[Hiring Date]],"mmmm")</f>
        <v>March</v>
      </c>
      <c r="T1061" s="1">
        <f>COUNTIF(S:S,Table1[[#This Row],[Months List]])</f>
        <v>0</v>
      </c>
      <c r="U1061" t="str">
        <f>TEXT(Table1[[#This Row],[Hiring Date]],"dddd")</f>
        <v>Thursday</v>
      </c>
      <c r="V1061" s="1" t="str">
        <f>TEXT(Table1[[#This Row],[Hiring Date]],"yyyy")</f>
        <v>2025</v>
      </c>
    </row>
    <row r="1062" spans="1:22">
      <c r="A1062" t="s">
        <v>638</v>
      </c>
      <c r="B1062">
        <v>35</v>
      </c>
      <c r="C1062">
        <v>1343</v>
      </c>
      <c r="D1062" t="s">
        <v>14</v>
      </c>
      <c r="E1062" t="s">
        <v>1495</v>
      </c>
      <c r="F1062" t="s">
        <v>1499</v>
      </c>
      <c r="G1062">
        <v>53</v>
      </c>
      <c r="H1062">
        <v>2</v>
      </c>
      <c r="I1062">
        <v>1</v>
      </c>
      <c r="J1062" t="s">
        <v>1476</v>
      </c>
      <c r="K1062" t="s">
        <v>1477</v>
      </c>
      <c r="L1062">
        <v>1</v>
      </c>
      <c r="M1062" t="s">
        <v>12</v>
      </c>
      <c r="N1062">
        <v>1</v>
      </c>
      <c r="O1062" t="s">
        <v>13</v>
      </c>
      <c r="P1062">
        <v>6</v>
      </c>
      <c r="Q1062" s="4">
        <v>45637</v>
      </c>
      <c r="R1062" s="4"/>
      <c r="S1062" t="str">
        <f>TEXT(Table1[[#This Row],[Hiring Date]],"mmmm")</f>
        <v>December</v>
      </c>
      <c r="T1062" s="1">
        <f>COUNTIF(S:S,Table1[[#This Row],[Months List]])</f>
        <v>0</v>
      </c>
      <c r="U1062" t="str">
        <f>TEXT(Table1[[#This Row],[Hiring Date]],"dddd")</f>
        <v>Wednesday</v>
      </c>
      <c r="V1062" s="1" t="str">
        <f>TEXT(Table1[[#This Row],[Hiring Date]],"yyyy")</f>
        <v>2024</v>
      </c>
    </row>
    <row r="1063" spans="1:22">
      <c r="A1063" t="s">
        <v>639</v>
      </c>
      <c r="B1063">
        <v>36</v>
      </c>
      <c r="C1063">
        <v>928</v>
      </c>
      <c r="D1063" t="s">
        <v>11</v>
      </c>
      <c r="E1063" t="s">
        <v>1497</v>
      </c>
      <c r="F1063" t="s">
        <v>1496</v>
      </c>
      <c r="G1063">
        <v>56</v>
      </c>
      <c r="H1063">
        <v>3</v>
      </c>
      <c r="I1063">
        <v>2</v>
      </c>
      <c r="J1063" t="s">
        <v>1474</v>
      </c>
      <c r="K1063" t="s">
        <v>1475</v>
      </c>
      <c r="L1063">
        <v>4</v>
      </c>
      <c r="M1063" t="s">
        <v>15</v>
      </c>
      <c r="N1063">
        <v>1</v>
      </c>
      <c r="O1063" t="s">
        <v>10</v>
      </c>
      <c r="P1063">
        <v>18</v>
      </c>
      <c r="Q1063" s="4">
        <v>45937</v>
      </c>
      <c r="R1063" s="4"/>
      <c r="S1063" t="str">
        <f>TEXT(Table1[[#This Row],[Hiring Date]],"mmmm")</f>
        <v>October</v>
      </c>
      <c r="T1063" s="1">
        <f>COUNTIF(S:S,Table1[[#This Row],[Months List]])</f>
        <v>0</v>
      </c>
      <c r="U1063" t="str">
        <f>TEXT(Table1[[#This Row],[Hiring Date]],"dddd")</f>
        <v>Tuesday</v>
      </c>
      <c r="V1063" s="1" t="str">
        <f>TEXT(Table1[[#This Row],[Hiring Date]],"yyyy")</f>
        <v>2025</v>
      </c>
    </row>
    <row r="1064" spans="1:22">
      <c r="A1064" t="s">
        <v>640</v>
      </c>
      <c r="B1064">
        <v>32</v>
      </c>
      <c r="C1064">
        <v>117</v>
      </c>
      <c r="D1064" t="s">
        <v>11</v>
      </c>
      <c r="E1064" t="s">
        <v>1497</v>
      </c>
      <c r="F1064" t="s">
        <v>1496</v>
      </c>
      <c r="G1064">
        <v>73</v>
      </c>
      <c r="H1064">
        <v>3</v>
      </c>
      <c r="I1064">
        <v>2</v>
      </c>
      <c r="J1064" t="s">
        <v>1474</v>
      </c>
      <c r="K1064" t="s">
        <v>1475</v>
      </c>
      <c r="L1064">
        <v>4</v>
      </c>
      <c r="M1064" t="s">
        <v>16</v>
      </c>
      <c r="N1064">
        <v>2</v>
      </c>
      <c r="O1064" t="s">
        <v>13</v>
      </c>
      <c r="P1064">
        <v>8</v>
      </c>
      <c r="Q1064" s="4">
        <v>45877</v>
      </c>
      <c r="R1064" s="4"/>
      <c r="S1064" t="str">
        <f>TEXT(Table1[[#This Row],[Hiring Date]],"mmmm")</f>
        <v>August</v>
      </c>
      <c r="T1064" s="1">
        <f>COUNTIF(S:S,Table1[[#This Row],[Months List]])</f>
        <v>0</v>
      </c>
      <c r="U1064" t="str">
        <f>TEXT(Table1[[#This Row],[Hiring Date]],"dddd")</f>
        <v>Friday</v>
      </c>
      <c r="V1064" s="1" t="str">
        <f>TEXT(Table1[[#This Row],[Hiring Date]],"yyyy")</f>
        <v>2025</v>
      </c>
    </row>
    <row r="1065" spans="1:22">
      <c r="A1065" t="s">
        <v>641</v>
      </c>
      <c r="B1065">
        <v>30</v>
      </c>
      <c r="C1065">
        <v>1012</v>
      </c>
      <c r="D1065" t="s">
        <v>14</v>
      </c>
      <c r="E1065" t="s">
        <v>1497</v>
      </c>
      <c r="F1065" t="s">
        <v>1496</v>
      </c>
      <c r="G1065">
        <v>75</v>
      </c>
      <c r="H1065">
        <v>2</v>
      </c>
      <c r="I1065">
        <v>1</v>
      </c>
      <c r="J1065" t="s">
        <v>1476</v>
      </c>
      <c r="K1065" t="s">
        <v>1477</v>
      </c>
      <c r="L1065">
        <v>4</v>
      </c>
      <c r="M1065" t="s">
        <v>16</v>
      </c>
      <c r="N1065">
        <v>9</v>
      </c>
      <c r="O1065" t="s">
        <v>13</v>
      </c>
      <c r="P1065">
        <v>10</v>
      </c>
      <c r="Q1065" s="4">
        <v>45803</v>
      </c>
      <c r="R1065" s="4"/>
      <c r="S1065" t="str">
        <f>TEXT(Table1[[#This Row],[Hiring Date]],"mmmm")</f>
        <v>May</v>
      </c>
      <c r="T1065" s="1">
        <f>COUNTIF(S:S,Table1[[#This Row],[Months List]])</f>
        <v>0</v>
      </c>
      <c r="U1065" t="str">
        <f>TEXT(Table1[[#This Row],[Hiring Date]],"dddd")</f>
        <v>Monday</v>
      </c>
      <c r="V1065" s="1" t="str">
        <f>TEXT(Table1[[#This Row],[Hiring Date]],"yyyy")</f>
        <v>2025</v>
      </c>
    </row>
    <row r="1066" spans="1:22">
      <c r="A1066" t="s">
        <v>642</v>
      </c>
      <c r="B1066">
        <v>53</v>
      </c>
      <c r="C1066">
        <v>661</v>
      </c>
      <c r="D1066" t="s">
        <v>11</v>
      </c>
      <c r="E1066" t="s">
        <v>1498</v>
      </c>
      <c r="F1066" t="s">
        <v>1499</v>
      </c>
      <c r="G1066">
        <v>78</v>
      </c>
      <c r="H1066">
        <v>2</v>
      </c>
      <c r="I1066">
        <v>3</v>
      </c>
      <c r="J1066" t="s">
        <v>1474</v>
      </c>
      <c r="K1066" t="s">
        <v>1475</v>
      </c>
      <c r="L1066">
        <v>4</v>
      </c>
      <c r="M1066" t="s">
        <v>15</v>
      </c>
      <c r="N1066">
        <v>7</v>
      </c>
      <c r="O1066" t="s">
        <v>10</v>
      </c>
      <c r="P1066">
        <v>35</v>
      </c>
      <c r="Q1066" s="4">
        <v>45998</v>
      </c>
      <c r="R1066" s="4"/>
      <c r="S1066" t="str">
        <f>TEXT(Table1[[#This Row],[Hiring Date]],"mmmm")</f>
        <v>December</v>
      </c>
      <c r="T1066" s="1">
        <f>COUNTIF(S:S,Table1[[#This Row],[Months List]])</f>
        <v>0</v>
      </c>
      <c r="U1066" t="str">
        <f>TEXT(Table1[[#This Row],[Hiring Date]],"dddd")</f>
        <v>Sunday</v>
      </c>
      <c r="V1066" s="1" t="str">
        <f>TEXT(Table1[[#This Row],[Hiring Date]],"yyyy")</f>
        <v>2025</v>
      </c>
    </row>
    <row r="1067" spans="1:22">
      <c r="A1067" t="s">
        <v>643</v>
      </c>
      <c r="B1067">
        <v>45</v>
      </c>
      <c r="C1067">
        <v>930</v>
      </c>
      <c r="D1067" t="s">
        <v>11</v>
      </c>
      <c r="E1067" t="s">
        <v>1498</v>
      </c>
      <c r="F1067" t="s">
        <v>1496</v>
      </c>
      <c r="G1067">
        <v>74</v>
      </c>
      <c r="H1067">
        <v>3</v>
      </c>
      <c r="I1067">
        <v>3</v>
      </c>
      <c r="J1067" t="s">
        <v>1474</v>
      </c>
      <c r="K1067" t="s">
        <v>1475</v>
      </c>
      <c r="L1067">
        <v>1</v>
      </c>
      <c r="M1067" t="s">
        <v>16</v>
      </c>
      <c r="N1067">
        <v>4</v>
      </c>
      <c r="O1067" t="s">
        <v>10</v>
      </c>
      <c r="P1067">
        <v>18</v>
      </c>
      <c r="Q1067" s="4">
        <v>45955</v>
      </c>
      <c r="R1067" s="4"/>
      <c r="S1067" t="str">
        <f>TEXT(Table1[[#This Row],[Hiring Date]],"mmmm")</f>
        <v>October</v>
      </c>
      <c r="T1067" s="1">
        <f>COUNTIF(S:S,Table1[[#This Row],[Months List]])</f>
        <v>0</v>
      </c>
      <c r="U1067" t="str">
        <f>TEXT(Table1[[#This Row],[Hiring Date]],"dddd")</f>
        <v>Saturday</v>
      </c>
      <c r="V1067" s="1" t="str">
        <f>TEXT(Table1[[#This Row],[Hiring Date]],"yyyy")</f>
        <v>2025</v>
      </c>
    </row>
    <row r="1068" spans="1:22">
      <c r="A1068" t="s">
        <v>644</v>
      </c>
      <c r="B1068">
        <v>32</v>
      </c>
      <c r="C1068">
        <v>638</v>
      </c>
      <c r="D1068" t="s">
        <v>14</v>
      </c>
      <c r="E1068" t="s">
        <v>1495</v>
      </c>
      <c r="F1068" t="s">
        <v>1499</v>
      </c>
      <c r="G1068">
        <v>91</v>
      </c>
      <c r="H1068">
        <v>4</v>
      </c>
      <c r="I1068">
        <v>2</v>
      </c>
      <c r="J1068" t="s">
        <v>1476</v>
      </c>
      <c r="K1068" t="s">
        <v>1477</v>
      </c>
      <c r="L1068">
        <v>3</v>
      </c>
      <c r="M1068" t="s">
        <v>15</v>
      </c>
      <c r="N1068">
        <v>5</v>
      </c>
      <c r="O1068" t="s">
        <v>13</v>
      </c>
      <c r="P1068">
        <v>9</v>
      </c>
      <c r="Q1068" s="4">
        <v>45716</v>
      </c>
      <c r="R1068" s="4"/>
      <c r="S1068" t="str">
        <f>TEXT(Table1[[#This Row],[Hiring Date]],"mmmm")</f>
        <v>February</v>
      </c>
      <c r="T1068" s="1">
        <f>COUNTIF(S:S,Table1[[#This Row],[Months List]])</f>
        <v>0</v>
      </c>
      <c r="U1068" t="str">
        <f>TEXT(Table1[[#This Row],[Hiring Date]],"dddd")</f>
        <v>Friday</v>
      </c>
      <c r="V1068" s="1" t="str">
        <f>TEXT(Table1[[#This Row],[Hiring Date]],"yyyy")</f>
        <v>2025</v>
      </c>
    </row>
    <row r="1069" spans="1:22">
      <c r="A1069" t="s">
        <v>645</v>
      </c>
      <c r="B1069">
        <v>52</v>
      </c>
      <c r="C1069">
        <v>890</v>
      </c>
      <c r="D1069" t="s">
        <v>14</v>
      </c>
      <c r="E1069" t="s">
        <v>1495</v>
      </c>
      <c r="F1069" t="s">
        <v>1499</v>
      </c>
      <c r="G1069">
        <v>81</v>
      </c>
      <c r="H1069">
        <v>2</v>
      </c>
      <c r="I1069">
        <v>4</v>
      </c>
      <c r="J1069" t="s">
        <v>1480</v>
      </c>
      <c r="K1069" t="s">
        <v>1481</v>
      </c>
      <c r="L1069">
        <v>4</v>
      </c>
      <c r="M1069" t="s">
        <v>15</v>
      </c>
      <c r="N1069">
        <v>3</v>
      </c>
      <c r="O1069" t="s">
        <v>13</v>
      </c>
      <c r="P1069">
        <v>31</v>
      </c>
      <c r="Q1069" s="4">
        <v>45898</v>
      </c>
      <c r="R1069" s="4"/>
      <c r="S1069" t="str">
        <f>TEXT(Table1[[#This Row],[Hiring Date]],"mmmm")</f>
        <v>August</v>
      </c>
      <c r="T1069" s="1">
        <f>COUNTIF(S:S,Table1[[#This Row],[Months List]])</f>
        <v>0</v>
      </c>
      <c r="U1069" t="str">
        <f>TEXT(Table1[[#This Row],[Hiring Date]],"dddd")</f>
        <v>Friday</v>
      </c>
      <c r="V1069" s="1" t="str">
        <f>TEXT(Table1[[#This Row],[Hiring Date]],"yyyy")</f>
        <v>2025</v>
      </c>
    </row>
    <row r="1070" spans="1:22">
      <c r="A1070" t="s">
        <v>646</v>
      </c>
      <c r="B1070">
        <v>37</v>
      </c>
      <c r="C1070">
        <v>342</v>
      </c>
      <c r="D1070" t="s">
        <v>11</v>
      </c>
      <c r="E1070" t="s">
        <v>1498</v>
      </c>
      <c r="F1070" t="s">
        <v>1496</v>
      </c>
      <c r="G1070">
        <v>66</v>
      </c>
      <c r="H1070">
        <v>2</v>
      </c>
      <c r="I1070">
        <v>2</v>
      </c>
      <c r="J1070" t="s">
        <v>1474</v>
      </c>
      <c r="K1070" t="s">
        <v>1475</v>
      </c>
      <c r="L1070">
        <v>3</v>
      </c>
      <c r="M1070" t="s">
        <v>16</v>
      </c>
      <c r="N1070">
        <v>4</v>
      </c>
      <c r="O1070" t="s">
        <v>13</v>
      </c>
      <c r="P1070">
        <v>9</v>
      </c>
      <c r="Q1070" s="4">
        <v>45926</v>
      </c>
      <c r="R1070" s="4"/>
      <c r="S1070" t="str">
        <f>TEXT(Table1[[#This Row],[Hiring Date]],"mmmm")</f>
        <v>September</v>
      </c>
      <c r="T1070" s="1">
        <f>COUNTIF(S:S,Table1[[#This Row],[Months List]])</f>
        <v>0</v>
      </c>
      <c r="U1070" t="str">
        <f>TEXT(Table1[[#This Row],[Hiring Date]],"dddd")</f>
        <v>Friday</v>
      </c>
      <c r="V1070" s="1" t="str">
        <f>TEXT(Table1[[#This Row],[Hiring Date]],"yyyy")</f>
        <v>2025</v>
      </c>
    </row>
    <row r="1071" spans="1:22">
      <c r="A1071" t="s">
        <v>71</v>
      </c>
      <c r="B1071">
        <v>35</v>
      </c>
      <c r="C1071">
        <v>1097</v>
      </c>
      <c r="D1071" t="s">
        <v>14</v>
      </c>
      <c r="E1071" t="s">
        <v>1495</v>
      </c>
      <c r="F1071" t="s">
        <v>1496</v>
      </c>
      <c r="G1071">
        <v>79</v>
      </c>
      <c r="H1071">
        <v>2</v>
      </c>
      <c r="I1071">
        <v>3</v>
      </c>
      <c r="J1071" t="s">
        <v>1478</v>
      </c>
      <c r="K1071" t="s">
        <v>1479</v>
      </c>
      <c r="L1071">
        <v>1</v>
      </c>
      <c r="M1071" t="s">
        <v>15</v>
      </c>
      <c r="N1071">
        <v>2</v>
      </c>
      <c r="O1071" t="s">
        <v>10</v>
      </c>
      <c r="P1071">
        <v>10</v>
      </c>
      <c r="Q1071" s="4">
        <v>45975</v>
      </c>
      <c r="R1071" s="4"/>
      <c r="S1071" t="str">
        <f>TEXT(Table1[[#This Row],[Hiring Date]],"mmmm")</f>
        <v>November</v>
      </c>
      <c r="T1071" s="1">
        <f>COUNTIF(S:S,Table1[[#This Row],[Months List]])</f>
        <v>0</v>
      </c>
      <c r="U1071" t="str">
        <f>TEXT(Table1[[#This Row],[Hiring Date]],"dddd")</f>
        <v>Friday</v>
      </c>
      <c r="V1071" s="1" t="str">
        <f>TEXT(Table1[[#This Row],[Hiring Date]],"yyyy")</f>
        <v>2025</v>
      </c>
    </row>
    <row r="1072" spans="1:22">
      <c r="A1072" t="s">
        <v>647</v>
      </c>
      <c r="B1072">
        <v>28</v>
      </c>
      <c r="C1072">
        <v>1169</v>
      </c>
      <c r="D1072" t="s">
        <v>17</v>
      </c>
      <c r="E1072" t="s">
        <v>1495</v>
      </c>
      <c r="F1072" t="s">
        <v>1496</v>
      </c>
      <c r="G1072">
        <v>63</v>
      </c>
      <c r="H1072">
        <v>2</v>
      </c>
      <c r="I1072">
        <v>1</v>
      </c>
      <c r="J1072" t="s">
        <v>1486</v>
      </c>
      <c r="K1072" t="s">
        <v>17</v>
      </c>
      <c r="L1072">
        <v>4</v>
      </c>
      <c r="M1072" t="s">
        <v>16</v>
      </c>
      <c r="N1072">
        <v>1</v>
      </c>
      <c r="O1072" t="s">
        <v>13</v>
      </c>
      <c r="P1072">
        <v>6</v>
      </c>
      <c r="Q1072" s="4">
        <v>45811</v>
      </c>
      <c r="R1072" s="4"/>
      <c r="S1072" t="str">
        <f>TEXT(Table1[[#This Row],[Hiring Date]],"mmmm")</f>
        <v>June</v>
      </c>
      <c r="T1072" s="1">
        <f>COUNTIF(S:S,Table1[[#This Row],[Months List]])</f>
        <v>0</v>
      </c>
      <c r="U1072" t="str">
        <f>TEXT(Table1[[#This Row],[Hiring Date]],"dddd")</f>
        <v>Tuesday</v>
      </c>
      <c r="V1072" s="1" t="str">
        <f>TEXT(Table1[[#This Row],[Hiring Date]],"yyyy")</f>
        <v>2025</v>
      </c>
    </row>
    <row r="1073" spans="1:22">
      <c r="A1073" t="s">
        <v>648</v>
      </c>
      <c r="B1073">
        <v>22</v>
      </c>
      <c r="C1073">
        <v>1230</v>
      </c>
      <c r="D1073" t="s">
        <v>14</v>
      </c>
      <c r="E1073" t="s">
        <v>1497</v>
      </c>
      <c r="F1073" t="s">
        <v>1496</v>
      </c>
      <c r="G1073">
        <v>33</v>
      </c>
      <c r="H1073">
        <v>2</v>
      </c>
      <c r="I1073">
        <v>2</v>
      </c>
      <c r="J1073" t="s">
        <v>1480</v>
      </c>
      <c r="K1073" t="s">
        <v>1481</v>
      </c>
      <c r="L1073">
        <v>4</v>
      </c>
      <c r="M1073" t="s">
        <v>15</v>
      </c>
      <c r="N1073">
        <v>6</v>
      </c>
      <c r="O1073" t="s">
        <v>13</v>
      </c>
      <c r="P1073">
        <v>4</v>
      </c>
      <c r="Q1073" s="4">
        <v>45635</v>
      </c>
      <c r="R1073" s="4"/>
      <c r="S1073" t="str">
        <f>TEXT(Table1[[#This Row],[Hiring Date]],"mmmm")</f>
        <v>December</v>
      </c>
      <c r="T1073" s="1">
        <f>COUNTIF(S:S,Table1[[#This Row],[Months List]])</f>
        <v>0</v>
      </c>
      <c r="U1073" t="str">
        <f>TEXT(Table1[[#This Row],[Hiring Date]],"dddd")</f>
        <v>Monday</v>
      </c>
      <c r="V1073" s="1" t="str">
        <f>TEXT(Table1[[#This Row],[Hiring Date]],"yyyy")</f>
        <v>2024</v>
      </c>
    </row>
    <row r="1074" spans="1:22">
      <c r="A1074" t="s">
        <v>649</v>
      </c>
      <c r="B1074">
        <v>44</v>
      </c>
      <c r="C1074">
        <v>986</v>
      </c>
      <c r="D1074" t="s">
        <v>14</v>
      </c>
      <c r="E1074" t="s">
        <v>1497</v>
      </c>
      <c r="F1074" t="s">
        <v>1496</v>
      </c>
      <c r="G1074">
        <v>62</v>
      </c>
      <c r="H1074">
        <v>4</v>
      </c>
      <c r="I1074">
        <v>1</v>
      </c>
      <c r="J1074" t="s">
        <v>1484</v>
      </c>
      <c r="K1074" t="s">
        <v>1485</v>
      </c>
      <c r="L1074">
        <v>4</v>
      </c>
      <c r="M1074" t="s">
        <v>15</v>
      </c>
      <c r="N1074">
        <v>2</v>
      </c>
      <c r="O1074" t="s">
        <v>10</v>
      </c>
      <c r="P1074">
        <v>10</v>
      </c>
      <c r="Q1074" s="4">
        <v>45986</v>
      </c>
      <c r="R1074" s="4"/>
      <c r="S1074" t="str">
        <f>TEXT(Table1[[#This Row],[Hiring Date]],"mmmm")</f>
        <v>November</v>
      </c>
      <c r="T1074" s="1">
        <f>COUNTIF(S:S,Table1[[#This Row],[Months List]])</f>
        <v>0</v>
      </c>
      <c r="U1074" t="str">
        <f>TEXT(Table1[[#This Row],[Hiring Date]],"dddd")</f>
        <v>Tuesday</v>
      </c>
      <c r="V1074" s="1" t="str">
        <f>TEXT(Table1[[#This Row],[Hiring Date]],"yyyy")</f>
        <v>2025</v>
      </c>
    </row>
    <row r="1075" spans="1:22">
      <c r="A1075" t="s">
        <v>650</v>
      </c>
      <c r="B1075">
        <v>42</v>
      </c>
      <c r="C1075">
        <v>1271</v>
      </c>
      <c r="D1075" t="s">
        <v>14</v>
      </c>
      <c r="E1075" t="s">
        <v>1495</v>
      </c>
      <c r="F1075" t="s">
        <v>1496</v>
      </c>
      <c r="G1075">
        <v>35</v>
      </c>
      <c r="H1075">
        <v>3</v>
      </c>
      <c r="I1075">
        <v>1</v>
      </c>
      <c r="J1075" t="s">
        <v>1476</v>
      </c>
      <c r="K1075" t="s">
        <v>1477</v>
      </c>
      <c r="L1075">
        <v>4</v>
      </c>
      <c r="M1075" t="s">
        <v>12</v>
      </c>
      <c r="N1075">
        <v>5</v>
      </c>
      <c r="O1075" t="s">
        <v>10</v>
      </c>
      <c r="P1075">
        <v>8</v>
      </c>
      <c r="Q1075" s="4">
        <v>45680</v>
      </c>
      <c r="R1075" s="4"/>
      <c r="S1075" t="str">
        <f>TEXT(Table1[[#This Row],[Hiring Date]],"mmmm")</f>
        <v>January</v>
      </c>
      <c r="T1075" s="1">
        <f>COUNTIF(S:S,Table1[[#This Row],[Months List]])</f>
        <v>0</v>
      </c>
      <c r="U1075" t="str">
        <f>TEXT(Table1[[#This Row],[Hiring Date]],"dddd")</f>
        <v>Thursday</v>
      </c>
      <c r="V1075" s="1" t="str">
        <f>TEXT(Table1[[#This Row],[Hiring Date]],"yyyy")</f>
        <v>2025</v>
      </c>
    </row>
    <row r="1076" spans="1:22">
      <c r="A1076" t="s">
        <v>651</v>
      </c>
      <c r="B1076">
        <v>36</v>
      </c>
      <c r="C1076">
        <v>1278</v>
      </c>
      <c r="D1076" t="s">
        <v>17</v>
      </c>
      <c r="E1076" t="s">
        <v>1497</v>
      </c>
      <c r="F1076" t="s">
        <v>1496</v>
      </c>
      <c r="G1076">
        <v>77</v>
      </c>
      <c r="H1076">
        <v>2</v>
      </c>
      <c r="I1076">
        <v>1</v>
      </c>
      <c r="J1076" t="s">
        <v>1486</v>
      </c>
      <c r="K1076" t="s">
        <v>17</v>
      </c>
      <c r="L1076">
        <v>1</v>
      </c>
      <c r="M1076" t="s">
        <v>15</v>
      </c>
      <c r="N1076">
        <v>0</v>
      </c>
      <c r="O1076" t="s">
        <v>13</v>
      </c>
      <c r="P1076">
        <v>6</v>
      </c>
      <c r="Q1076" s="4">
        <v>45816</v>
      </c>
      <c r="R1076" s="4"/>
      <c r="S1076" t="str">
        <f>TEXT(Table1[[#This Row],[Hiring Date]],"mmmm")</f>
        <v>June</v>
      </c>
      <c r="T1076" s="1">
        <f>COUNTIF(S:S,Table1[[#This Row],[Months List]])</f>
        <v>0</v>
      </c>
      <c r="U1076" t="str">
        <f>TEXT(Table1[[#This Row],[Hiring Date]],"dddd")</f>
        <v>Sunday</v>
      </c>
      <c r="V1076" s="1" t="str">
        <f>TEXT(Table1[[#This Row],[Hiring Date]],"yyyy")</f>
        <v>2025</v>
      </c>
    </row>
    <row r="1077" spans="1:22">
      <c r="A1077" t="s">
        <v>652</v>
      </c>
      <c r="B1077">
        <v>25</v>
      </c>
      <c r="C1077">
        <v>141</v>
      </c>
      <c r="D1077" t="s">
        <v>11</v>
      </c>
      <c r="E1077" t="s">
        <v>1500</v>
      </c>
      <c r="F1077" t="s">
        <v>1496</v>
      </c>
      <c r="G1077">
        <v>98</v>
      </c>
      <c r="H1077">
        <v>3</v>
      </c>
      <c r="I1077">
        <v>2</v>
      </c>
      <c r="J1077" t="s">
        <v>1474</v>
      </c>
      <c r="K1077" t="s">
        <v>1475</v>
      </c>
      <c r="L1077">
        <v>1</v>
      </c>
      <c r="M1077" t="s">
        <v>15</v>
      </c>
      <c r="N1077">
        <v>1</v>
      </c>
      <c r="O1077" t="s">
        <v>10</v>
      </c>
      <c r="P1077">
        <v>5</v>
      </c>
      <c r="Q1077" s="4">
        <v>45834</v>
      </c>
      <c r="R1077" s="4"/>
      <c r="S1077" t="str">
        <f>TEXT(Table1[[#This Row],[Hiring Date]],"mmmm")</f>
        <v>June</v>
      </c>
      <c r="T1077" s="1">
        <f>COUNTIF(S:S,Table1[[#This Row],[Months List]])</f>
        <v>0</v>
      </c>
      <c r="U1077" t="str">
        <f>TEXT(Table1[[#This Row],[Hiring Date]],"dddd")</f>
        <v>Thursday</v>
      </c>
      <c r="V1077" s="1" t="str">
        <f>TEXT(Table1[[#This Row],[Hiring Date]],"yyyy")</f>
        <v>2025</v>
      </c>
    </row>
    <row r="1078" spans="1:22">
      <c r="A1078" t="s">
        <v>653</v>
      </c>
      <c r="B1078">
        <v>35</v>
      </c>
      <c r="C1078">
        <v>607</v>
      </c>
      <c r="D1078" t="s">
        <v>14</v>
      </c>
      <c r="E1078" t="s">
        <v>1497</v>
      </c>
      <c r="F1078" t="s">
        <v>1499</v>
      </c>
      <c r="G1078">
        <v>66</v>
      </c>
      <c r="H1078">
        <v>2</v>
      </c>
      <c r="I1078">
        <v>3</v>
      </c>
      <c r="J1078" t="s">
        <v>1480</v>
      </c>
      <c r="K1078" t="s">
        <v>1481</v>
      </c>
      <c r="L1078">
        <v>3</v>
      </c>
      <c r="M1078" t="s">
        <v>15</v>
      </c>
      <c r="N1078">
        <v>1</v>
      </c>
      <c r="O1078" t="s">
        <v>10</v>
      </c>
      <c r="P1078">
        <v>17</v>
      </c>
      <c r="Q1078" s="4">
        <v>45989</v>
      </c>
      <c r="R1078" s="4"/>
      <c r="S1078" t="str">
        <f>TEXT(Table1[[#This Row],[Hiring Date]],"mmmm")</f>
        <v>November</v>
      </c>
      <c r="T1078" s="1">
        <f>COUNTIF(S:S,Table1[[#This Row],[Months List]])</f>
        <v>0</v>
      </c>
      <c r="U1078" t="str">
        <f>TEXT(Table1[[#This Row],[Hiring Date]],"dddd")</f>
        <v>Friday</v>
      </c>
      <c r="V1078" s="1" t="str">
        <f>TEXT(Table1[[#This Row],[Hiring Date]],"yyyy")</f>
        <v>2025</v>
      </c>
    </row>
    <row r="1079" spans="1:22">
      <c r="A1079" t="s">
        <v>654</v>
      </c>
      <c r="B1079">
        <v>35</v>
      </c>
      <c r="C1079">
        <v>130</v>
      </c>
      <c r="D1079" t="s">
        <v>14</v>
      </c>
      <c r="E1079" t="s">
        <v>1497</v>
      </c>
      <c r="F1079" t="s">
        <v>1499</v>
      </c>
      <c r="G1079">
        <v>96</v>
      </c>
      <c r="H1079">
        <v>3</v>
      </c>
      <c r="I1079">
        <v>1</v>
      </c>
      <c r="J1079" t="s">
        <v>1476</v>
      </c>
      <c r="K1079" t="s">
        <v>1477</v>
      </c>
      <c r="L1079">
        <v>2</v>
      </c>
      <c r="M1079" t="s">
        <v>16</v>
      </c>
      <c r="N1079">
        <v>1</v>
      </c>
      <c r="O1079" t="s">
        <v>10</v>
      </c>
      <c r="P1079">
        <v>10</v>
      </c>
      <c r="Q1079" s="4">
        <v>45836</v>
      </c>
      <c r="R1079" s="4"/>
      <c r="S1079" t="str">
        <f>TEXT(Table1[[#This Row],[Hiring Date]],"mmmm")</f>
        <v>June</v>
      </c>
      <c r="T1079" s="1">
        <f>COUNTIF(S:S,Table1[[#This Row],[Months List]])</f>
        <v>0</v>
      </c>
      <c r="U1079" t="str">
        <f>TEXT(Table1[[#This Row],[Hiring Date]],"dddd")</f>
        <v>Saturday</v>
      </c>
      <c r="V1079" s="1" t="str">
        <f>TEXT(Table1[[#This Row],[Hiring Date]],"yyyy")</f>
        <v>2025</v>
      </c>
    </row>
    <row r="1080" spans="1:22">
      <c r="A1080" t="s">
        <v>655</v>
      </c>
      <c r="B1080">
        <v>32</v>
      </c>
      <c r="C1080">
        <v>300</v>
      </c>
      <c r="D1080" t="s">
        <v>14</v>
      </c>
      <c r="E1080" t="s">
        <v>1497</v>
      </c>
      <c r="F1080" t="s">
        <v>1496</v>
      </c>
      <c r="G1080">
        <v>61</v>
      </c>
      <c r="H1080">
        <v>3</v>
      </c>
      <c r="I1080">
        <v>1</v>
      </c>
      <c r="J1080" t="s">
        <v>1484</v>
      </c>
      <c r="K1080" t="s">
        <v>1485</v>
      </c>
      <c r="L1080">
        <v>4</v>
      </c>
      <c r="M1080" t="s">
        <v>16</v>
      </c>
      <c r="N1080">
        <v>0</v>
      </c>
      <c r="O1080" t="s">
        <v>13</v>
      </c>
      <c r="P1080">
        <v>4</v>
      </c>
      <c r="Q1080" s="4">
        <v>45854</v>
      </c>
      <c r="R1080" s="4"/>
      <c r="S1080" t="str">
        <f>TEXT(Table1[[#This Row],[Hiring Date]],"mmmm")</f>
        <v>July</v>
      </c>
      <c r="T1080" s="1">
        <f>COUNTIF(S:S,Table1[[#This Row],[Months List]])</f>
        <v>0</v>
      </c>
      <c r="U1080" t="str">
        <f>TEXT(Table1[[#This Row],[Hiring Date]],"dddd")</f>
        <v>Wednesday</v>
      </c>
      <c r="V1080" s="1" t="str">
        <f>TEXT(Table1[[#This Row],[Hiring Date]],"yyyy")</f>
        <v>2025</v>
      </c>
    </row>
    <row r="1081" spans="1:22">
      <c r="A1081" t="s">
        <v>656</v>
      </c>
      <c r="B1081">
        <v>25</v>
      </c>
      <c r="C1081">
        <v>583</v>
      </c>
      <c r="D1081" t="s">
        <v>11</v>
      </c>
      <c r="E1081" t="s">
        <v>1498</v>
      </c>
      <c r="F1081" t="s">
        <v>1496</v>
      </c>
      <c r="G1081">
        <v>87</v>
      </c>
      <c r="H1081">
        <v>2</v>
      </c>
      <c r="I1081">
        <v>2</v>
      </c>
      <c r="J1081" t="s">
        <v>1474</v>
      </c>
      <c r="K1081" t="s">
        <v>1475</v>
      </c>
      <c r="L1081">
        <v>1</v>
      </c>
      <c r="M1081" t="s">
        <v>15</v>
      </c>
      <c r="N1081">
        <v>1</v>
      </c>
      <c r="O1081" t="s">
        <v>13</v>
      </c>
      <c r="P1081">
        <v>5</v>
      </c>
      <c r="Q1081" s="4">
        <v>45835</v>
      </c>
      <c r="R1081" s="4"/>
      <c r="S1081" t="str">
        <f>TEXT(Table1[[#This Row],[Hiring Date]],"mmmm")</f>
        <v>June</v>
      </c>
      <c r="T1081" s="1">
        <f>COUNTIF(S:S,Table1[[#This Row],[Months List]])</f>
        <v>0</v>
      </c>
      <c r="U1081" t="str">
        <f>TEXT(Table1[[#This Row],[Hiring Date]],"dddd")</f>
        <v>Friday</v>
      </c>
      <c r="V1081" s="1" t="str">
        <f>TEXT(Table1[[#This Row],[Hiring Date]],"yyyy")</f>
        <v>2025</v>
      </c>
    </row>
    <row r="1082" spans="1:22">
      <c r="A1082" t="s">
        <v>72</v>
      </c>
      <c r="B1082">
        <v>26</v>
      </c>
      <c r="C1082">
        <v>1443</v>
      </c>
      <c r="D1082" t="s">
        <v>11</v>
      </c>
      <c r="E1082" t="s">
        <v>1498</v>
      </c>
      <c r="F1082" t="s">
        <v>1499</v>
      </c>
      <c r="G1082">
        <v>47</v>
      </c>
      <c r="H1082">
        <v>2</v>
      </c>
      <c r="I1082">
        <v>2</v>
      </c>
      <c r="J1082" t="s">
        <v>1474</v>
      </c>
      <c r="K1082" t="s">
        <v>1475</v>
      </c>
      <c r="L1082">
        <v>4</v>
      </c>
      <c r="M1082" t="s">
        <v>15</v>
      </c>
      <c r="N1082">
        <v>7</v>
      </c>
      <c r="O1082" t="s">
        <v>10</v>
      </c>
      <c r="P1082">
        <v>5</v>
      </c>
      <c r="Q1082" s="4">
        <v>45856</v>
      </c>
      <c r="R1082" s="4"/>
      <c r="S1082" t="str">
        <f>TEXT(Table1[[#This Row],[Hiring Date]],"mmmm")</f>
        <v>July</v>
      </c>
      <c r="T1082" s="1">
        <f>COUNTIF(S:S,Table1[[#This Row],[Months List]])</f>
        <v>0</v>
      </c>
      <c r="U1082" t="str">
        <f>TEXT(Table1[[#This Row],[Hiring Date]],"dddd")</f>
        <v>Friday</v>
      </c>
      <c r="V1082" s="1" t="str">
        <f>TEXT(Table1[[#This Row],[Hiring Date]],"yyyy")</f>
        <v>2025</v>
      </c>
    </row>
    <row r="1083" spans="1:22">
      <c r="A1083" t="s">
        <v>657</v>
      </c>
      <c r="B1083">
        <v>49</v>
      </c>
      <c r="C1083">
        <v>1418</v>
      </c>
      <c r="D1083" t="s">
        <v>14</v>
      </c>
      <c r="E1083" t="s">
        <v>1501</v>
      </c>
      <c r="F1083" t="s">
        <v>1499</v>
      </c>
      <c r="G1083">
        <v>36</v>
      </c>
      <c r="H1083">
        <v>3</v>
      </c>
      <c r="I1083">
        <v>1</v>
      </c>
      <c r="J1083" t="s">
        <v>1476</v>
      </c>
      <c r="K1083" t="s">
        <v>1477</v>
      </c>
      <c r="L1083">
        <v>1</v>
      </c>
      <c r="M1083" t="s">
        <v>15</v>
      </c>
      <c r="N1083">
        <v>2</v>
      </c>
      <c r="O1083" t="s">
        <v>13</v>
      </c>
      <c r="P1083">
        <v>7</v>
      </c>
      <c r="Q1083" s="4">
        <v>45694</v>
      </c>
      <c r="R1083" s="4"/>
      <c r="S1083" t="str">
        <f>TEXT(Table1[[#This Row],[Hiring Date]],"mmmm")</f>
        <v>February</v>
      </c>
      <c r="T1083" s="1">
        <f>COUNTIF(S:S,Table1[[#This Row],[Months List]])</f>
        <v>0</v>
      </c>
      <c r="U1083" t="str">
        <f>TEXT(Table1[[#This Row],[Hiring Date]],"dddd")</f>
        <v>Thursday</v>
      </c>
      <c r="V1083" s="1" t="str">
        <f>TEXT(Table1[[#This Row],[Hiring Date]],"yyyy")</f>
        <v>2025</v>
      </c>
    </row>
    <row r="1084" spans="1:22">
      <c r="A1084" t="s">
        <v>658</v>
      </c>
      <c r="B1084">
        <v>24</v>
      </c>
      <c r="C1084">
        <v>1269</v>
      </c>
      <c r="D1084" t="s">
        <v>14</v>
      </c>
      <c r="E1084" t="s">
        <v>1497</v>
      </c>
      <c r="F1084" t="s">
        <v>1496</v>
      </c>
      <c r="G1084">
        <v>46</v>
      </c>
      <c r="H1084">
        <v>2</v>
      </c>
      <c r="I1084">
        <v>1</v>
      </c>
      <c r="J1084" t="s">
        <v>1484</v>
      </c>
      <c r="K1084" t="s">
        <v>1485</v>
      </c>
      <c r="L1084">
        <v>4</v>
      </c>
      <c r="M1084" t="s">
        <v>15</v>
      </c>
      <c r="N1084">
        <v>0</v>
      </c>
      <c r="O1084" t="s">
        <v>13</v>
      </c>
      <c r="P1084">
        <v>6</v>
      </c>
      <c r="Q1084" s="4">
        <v>45835</v>
      </c>
      <c r="R1084" s="4"/>
      <c r="S1084" t="str">
        <f>TEXT(Table1[[#This Row],[Hiring Date]],"mmmm")</f>
        <v>June</v>
      </c>
      <c r="T1084" s="1">
        <f>COUNTIF(S:S,Table1[[#This Row],[Months List]])</f>
        <v>0</v>
      </c>
      <c r="U1084" t="str">
        <f>TEXT(Table1[[#This Row],[Hiring Date]],"dddd")</f>
        <v>Friday</v>
      </c>
      <c r="V1084" s="1" t="str">
        <f>TEXT(Table1[[#This Row],[Hiring Date]],"yyyy")</f>
        <v>2025</v>
      </c>
    </row>
    <row r="1085" spans="1:22">
      <c r="A1085" t="s">
        <v>659</v>
      </c>
      <c r="B1085">
        <v>32</v>
      </c>
      <c r="C1085">
        <v>379</v>
      </c>
      <c r="D1085" t="s">
        <v>11</v>
      </c>
      <c r="E1085" t="s">
        <v>1497</v>
      </c>
      <c r="F1085" t="s">
        <v>1496</v>
      </c>
      <c r="G1085">
        <v>48</v>
      </c>
      <c r="H1085">
        <v>3</v>
      </c>
      <c r="I1085">
        <v>2</v>
      </c>
      <c r="J1085" t="s">
        <v>1474</v>
      </c>
      <c r="K1085" t="s">
        <v>1475</v>
      </c>
      <c r="L1085">
        <v>2</v>
      </c>
      <c r="M1085" t="s">
        <v>15</v>
      </c>
      <c r="N1085">
        <v>1</v>
      </c>
      <c r="O1085" t="s">
        <v>13</v>
      </c>
      <c r="P1085">
        <v>10</v>
      </c>
      <c r="Q1085" s="4">
        <v>45796</v>
      </c>
      <c r="R1085" s="4"/>
      <c r="S1085" t="str">
        <f>TEXT(Table1[[#This Row],[Hiring Date]],"mmmm")</f>
        <v>May</v>
      </c>
      <c r="T1085" s="1">
        <f>COUNTIF(S:S,Table1[[#This Row],[Months List]])</f>
        <v>0</v>
      </c>
      <c r="U1085" t="str">
        <f>TEXT(Table1[[#This Row],[Hiring Date]],"dddd")</f>
        <v>Monday</v>
      </c>
      <c r="V1085" s="1" t="str">
        <f>TEXT(Table1[[#This Row],[Hiring Date]],"yyyy")</f>
        <v>2025</v>
      </c>
    </row>
    <row r="1086" spans="1:22">
      <c r="A1086" t="s">
        <v>660</v>
      </c>
      <c r="B1086">
        <v>38</v>
      </c>
      <c r="C1086">
        <v>395</v>
      </c>
      <c r="D1086" t="s">
        <v>11</v>
      </c>
      <c r="E1086" t="s">
        <v>1498</v>
      </c>
      <c r="F1086" t="s">
        <v>1496</v>
      </c>
      <c r="G1086">
        <v>98</v>
      </c>
      <c r="H1086">
        <v>2</v>
      </c>
      <c r="I1086">
        <v>1</v>
      </c>
      <c r="J1086" t="s">
        <v>1489</v>
      </c>
      <c r="K1086" t="s">
        <v>1490</v>
      </c>
      <c r="L1086">
        <v>2</v>
      </c>
      <c r="M1086" t="s">
        <v>15</v>
      </c>
      <c r="N1086">
        <v>0</v>
      </c>
      <c r="O1086" t="s">
        <v>13</v>
      </c>
      <c r="P1086">
        <v>3</v>
      </c>
      <c r="Q1086" s="4">
        <v>45742</v>
      </c>
      <c r="R1086" s="4"/>
      <c r="S1086" t="str">
        <f>TEXT(Table1[[#This Row],[Hiring Date]],"mmmm")</f>
        <v>March</v>
      </c>
      <c r="T1086" s="1">
        <f>COUNTIF(S:S,Table1[[#This Row],[Months List]])</f>
        <v>0</v>
      </c>
      <c r="U1086" t="str">
        <f>TEXT(Table1[[#This Row],[Hiring Date]],"dddd")</f>
        <v>Wednesday</v>
      </c>
      <c r="V1086" s="1" t="str">
        <f>TEXT(Table1[[#This Row],[Hiring Date]],"yyyy")</f>
        <v>2025</v>
      </c>
    </row>
    <row r="1087" spans="1:22">
      <c r="A1087" t="s">
        <v>661</v>
      </c>
      <c r="B1087">
        <v>42</v>
      </c>
      <c r="C1087">
        <v>1265</v>
      </c>
      <c r="D1087" t="s">
        <v>14</v>
      </c>
      <c r="E1087" t="s">
        <v>1497</v>
      </c>
      <c r="F1087" t="s">
        <v>1499</v>
      </c>
      <c r="G1087">
        <v>95</v>
      </c>
      <c r="H1087">
        <v>4</v>
      </c>
      <c r="I1087">
        <v>2</v>
      </c>
      <c r="J1087" t="s">
        <v>1484</v>
      </c>
      <c r="K1087" t="s">
        <v>1485</v>
      </c>
      <c r="L1087">
        <v>4</v>
      </c>
      <c r="M1087" t="s">
        <v>15</v>
      </c>
      <c r="N1087">
        <v>2</v>
      </c>
      <c r="O1087" t="s">
        <v>10</v>
      </c>
      <c r="P1087">
        <v>17</v>
      </c>
      <c r="Q1087" s="4">
        <v>45704</v>
      </c>
      <c r="R1087" s="4"/>
      <c r="S1087" t="str">
        <f>TEXT(Table1[[#This Row],[Hiring Date]],"mmmm")</f>
        <v>February</v>
      </c>
      <c r="T1087" s="1">
        <f>COUNTIF(S:S,Table1[[#This Row],[Months List]])</f>
        <v>0</v>
      </c>
      <c r="U1087" t="str">
        <f>TEXT(Table1[[#This Row],[Hiring Date]],"dddd")</f>
        <v>Sunday</v>
      </c>
      <c r="V1087" s="1" t="str">
        <f>TEXT(Table1[[#This Row],[Hiring Date]],"yyyy")</f>
        <v>2025</v>
      </c>
    </row>
    <row r="1088" spans="1:22">
      <c r="A1088" t="s">
        <v>662</v>
      </c>
      <c r="B1088">
        <v>31</v>
      </c>
      <c r="C1088">
        <v>1222</v>
      </c>
      <c r="D1088" t="s">
        <v>14</v>
      </c>
      <c r="E1088" t="s">
        <v>1497</v>
      </c>
      <c r="F1088" t="s">
        <v>1496</v>
      </c>
      <c r="G1088">
        <v>48</v>
      </c>
      <c r="H1088">
        <v>3</v>
      </c>
      <c r="I1088">
        <v>1</v>
      </c>
      <c r="J1088" t="s">
        <v>1476</v>
      </c>
      <c r="K1088" t="s">
        <v>1477</v>
      </c>
      <c r="L1088">
        <v>4</v>
      </c>
      <c r="M1088" t="s">
        <v>15</v>
      </c>
      <c r="N1088">
        <v>3</v>
      </c>
      <c r="O1088" t="s">
        <v>10</v>
      </c>
      <c r="P1088">
        <v>8</v>
      </c>
      <c r="Q1088" s="4">
        <v>45946</v>
      </c>
      <c r="R1088" s="4"/>
      <c r="S1088" t="str">
        <f>TEXT(Table1[[#This Row],[Hiring Date]],"mmmm")</f>
        <v>October</v>
      </c>
      <c r="T1088" s="1">
        <f>COUNTIF(S:S,Table1[[#This Row],[Months List]])</f>
        <v>0</v>
      </c>
      <c r="U1088" t="str">
        <f>TEXT(Table1[[#This Row],[Hiring Date]],"dddd")</f>
        <v>Thursday</v>
      </c>
      <c r="V1088" s="1" t="str">
        <f>TEXT(Table1[[#This Row],[Hiring Date]],"yyyy")</f>
        <v>2025</v>
      </c>
    </row>
    <row r="1089" spans="1:22">
      <c r="A1089" t="s">
        <v>663</v>
      </c>
      <c r="B1089">
        <v>29</v>
      </c>
      <c r="C1089">
        <v>341</v>
      </c>
      <c r="D1089" t="s">
        <v>11</v>
      </c>
      <c r="E1089" t="s">
        <v>1495</v>
      </c>
      <c r="F1089" t="s">
        <v>1499</v>
      </c>
      <c r="G1089">
        <v>48</v>
      </c>
      <c r="H1089">
        <v>2</v>
      </c>
      <c r="I1089">
        <v>1</v>
      </c>
      <c r="J1089" t="s">
        <v>1489</v>
      </c>
      <c r="K1089" t="s">
        <v>1490</v>
      </c>
      <c r="L1089">
        <v>3</v>
      </c>
      <c r="M1089" t="s">
        <v>16</v>
      </c>
      <c r="N1089">
        <v>6</v>
      </c>
      <c r="O1089" t="s">
        <v>10</v>
      </c>
      <c r="P1089">
        <v>5</v>
      </c>
      <c r="Q1089" s="4">
        <v>45794</v>
      </c>
      <c r="R1089" s="4"/>
      <c r="S1089" t="str">
        <f>TEXT(Table1[[#This Row],[Hiring Date]],"mmmm")</f>
        <v>May</v>
      </c>
      <c r="T1089" s="1">
        <f>COUNTIF(S:S,Table1[[#This Row],[Months List]])</f>
        <v>0</v>
      </c>
      <c r="U1089" t="str">
        <f>TEXT(Table1[[#This Row],[Hiring Date]],"dddd")</f>
        <v>Saturday</v>
      </c>
      <c r="V1089" s="1" t="str">
        <f>TEXT(Table1[[#This Row],[Hiring Date]],"yyyy")</f>
        <v>2025</v>
      </c>
    </row>
    <row r="1090" spans="1:22">
      <c r="A1090" t="s">
        <v>664</v>
      </c>
      <c r="B1090">
        <v>53</v>
      </c>
      <c r="C1090">
        <v>868</v>
      </c>
      <c r="D1090" t="s">
        <v>11</v>
      </c>
      <c r="E1090" t="s">
        <v>1498</v>
      </c>
      <c r="F1090" t="s">
        <v>1496</v>
      </c>
      <c r="G1090">
        <v>73</v>
      </c>
      <c r="H1090">
        <v>3</v>
      </c>
      <c r="I1090">
        <v>4</v>
      </c>
      <c r="J1090" t="s">
        <v>1474</v>
      </c>
      <c r="K1090" t="s">
        <v>1475</v>
      </c>
      <c r="L1090">
        <v>4</v>
      </c>
      <c r="M1090" t="s">
        <v>15</v>
      </c>
      <c r="N1090">
        <v>5</v>
      </c>
      <c r="O1090" t="s">
        <v>13</v>
      </c>
      <c r="P1090">
        <v>28</v>
      </c>
      <c r="Q1090" s="4">
        <v>45721</v>
      </c>
      <c r="R1090" s="4"/>
      <c r="S1090" t="str">
        <f>TEXT(Table1[[#This Row],[Hiring Date]],"mmmm")</f>
        <v>March</v>
      </c>
      <c r="T1090" s="1">
        <f>COUNTIF(S:S,Table1[[#This Row],[Months List]])</f>
        <v>0</v>
      </c>
      <c r="U1090" t="str">
        <f>TEXT(Table1[[#This Row],[Hiring Date]],"dddd")</f>
        <v>Wednesday</v>
      </c>
      <c r="V1090" s="1" t="str">
        <f>TEXT(Table1[[#This Row],[Hiring Date]],"yyyy")</f>
        <v>2025</v>
      </c>
    </row>
    <row r="1091" spans="1:22">
      <c r="A1091" t="s">
        <v>665</v>
      </c>
      <c r="B1091">
        <v>35</v>
      </c>
      <c r="C1091">
        <v>672</v>
      </c>
      <c r="D1091" t="s">
        <v>14</v>
      </c>
      <c r="E1091" t="s">
        <v>1501</v>
      </c>
      <c r="F1091" t="s">
        <v>1496</v>
      </c>
      <c r="G1091">
        <v>78</v>
      </c>
      <c r="H1091">
        <v>2</v>
      </c>
      <c r="I1091">
        <v>3</v>
      </c>
      <c r="J1091" t="s">
        <v>1480</v>
      </c>
      <c r="K1091" t="s">
        <v>1481</v>
      </c>
      <c r="L1091">
        <v>2</v>
      </c>
      <c r="M1091" t="s">
        <v>15</v>
      </c>
      <c r="N1091">
        <v>3</v>
      </c>
      <c r="O1091" t="s">
        <v>13</v>
      </c>
      <c r="P1091">
        <v>16</v>
      </c>
      <c r="Q1091" s="4">
        <v>45783</v>
      </c>
      <c r="R1091" s="4"/>
      <c r="S1091" t="str">
        <f>TEXT(Table1[[#This Row],[Hiring Date]],"mmmm")</f>
        <v>May</v>
      </c>
      <c r="T1091" s="1">
        <f>COUNTIF(S:S,Table1[[#This Row],[Months List]])</f>
        <v>0</v>
      </c>
      <c r="U1091" t="str">
        <f>TEXT(Table1[[#This Row],[Hiring Date]],"dddd")</f>
        <v>Tuesday</v>
      </c>
      <c r="V1091" s="1" t="str">
        <f>TEXT(Table1[[#This Row],[Hiring Date]],"yyyy")</f>
        <v>2025</v>
      </c>
    </row>
    <row r="1092" spans="1:22">
      <c r="A1092" t="s">
        <v>666</v>
      </c>
      <c r="B1092">
        <v>37</v>
      </c>
      <c r="C1092">
        <v>1231</v>
      </c>
      <c r="D1092" t="s">
        <v>11</v>
      </c>
      <c r="E1092" t="s">
        <v>1495</v>
      </c>
      <c r="F1092" t="s">
        <v>1499</v>
      </c>
      <c r="G1092">
        <v>54</v>
      </c>
      <c r="H1092">
        <v>3</v>
      </c>
      <c r="I1092">
        <v>1</v>
      </c>
      <c r="J1092" t="s">
        <v>1489</v>
      </c>
      <c r="K1092" t="s">
        <v>1490</v>
      </c>
      <c r="L1092">
        <v>4</v>
      </c>
      <c r="M1092" t="s">
        <v>15</v>
      </c>
      <c r="N1092">
        <v>5</v>
      </c>
      <c r="O1092" t="s">
        <v>13</v>
      </c>
      <c r="P1092">
        <v>10</v>
      </c>
      <c r="Q1092" s="4">
        <v>45656</v>
      </c>
      <c r="R1092" s="4"/>
      <c r="S1092" t="str">
        <f>TEXT(Table1[[#This Row],[Hiring Date]],"mmmm")</f>
        <v>December</v>
      </c>
      <c r="T1092" s="1">
        <f>COUNTIF(S:S,Table1[[#This Row],[Months List]])</f>
        <v>0</v>
      </c>
      <c r="U1092" t="str">
        <f>TEXT(Table1[[#This Row],[Hiring Date]],"dddd")</f>
        <v>Monday</v>
      </c>
      <c r="V1092" s="1" t="str">
        <f>TEXT(Table1[[#This Row],[Hiring Date]],"yyyy")</f>
        <v>2024</v>
      </c>
    </row>
    <row r="1093" spans="1:22">
      <c r="A1093" t="s">
        <v>73</v>
      </c>
      <c r="B1093">
        <v>33</v>
      </c>
      <c r="C1093">
        <v>515</v>
      </c>
      <c r="D1093" t="s">
        <v>14</v>
      </c>
      <c r="E1093" t="s">
        <v>1497</v>
      </c>
      <c r="F1093" t="s">
        <v>1499</v>
      </c>
      <c r="G1093">
        <v>98</v>
      </c>
      <c r="H1093">
        <v>3</v>
      </c>
      <c r="I1093">
        <v>3</v>
      </c>
      <c r="J1093" t="s">
        <v>1487</v>
      </c>
      <c r="K1093" t="s">
        <v>1488</v>
      </c>
      <c r="L1093">
        <v>4</v>
      </c>
      <c r="M1093" t="s">
        <v>12</v>
      </c>
      <c r="N1093">
        <v>1</v>
      </c>
      <c r="O1093" t="s">
        <v>10</v>
      </c>
      <c r="P1093">
        <v>15</v>
      </c>
      <c r="Q1093" s="4">
        <v>45892</v>
      </c>
      <c r="R1093" s="4"/>
      <c r="S1093" t="str">
        <f>TEXT(Table1[[#This Row],[Hiring Date]],"mmmm")</f>
        <v>August</v>
      </c>
      <c r="T1093" s="1">
        <f>COUNTIF(S:S,Table1[[#This Row],[Months List]])</f>
        <v>0</v>
      </c>
      <c r="U1093" t="str">
        <f>TEXT(Table1[[#This Row],[Hiring Date]],"dddd")</f>
        <v>Saturday</v>
      </c>
      <c r="V1093" s="1" t="str">
        <f>TEXT(Table1[[#This Row],[Hiring Date]],"yyyy")</f>
        <v>2025</v>
      </c>
    </row>
    <row r="1094" spans="1:22">
      <c r="A1094" t="s">
        <v>667</v>
      </c>
      <c r="B1094">
        <v>53</v>
      </c>
      <c r="C1094">
        <v>102</v>
      </c>
      <c r="D1094" t="s">
        <v>14</v>
      </c>
      <c r="E1094" t="s">
        <v>1497</v>
      </c>
      <c r="F1094" t="s">
        <v>1499</v>
      </c>
      <c r="G1094">
        <v>72</v>
      </c>
      <c r="H1094">
        <v>3</v>
      </c>
      <c r="I1094">
        <v>4</v>
      </c>
      <c r="J1094" t="s">
        <v>1487</v>
      </c>
      <c r="K1094" t="s">
        <v>1488</v>
      </c>
      <c r="L1094">
        <v>4</v>
      </c>
      <c r="M1094" t="s">
        <v>12</v>
      </c>
      <c r="N1094">
        <v>6</v>
      </c>
      <c r="O1094" t="s">
        <v>13</v>
      </c>
      <c r="P1094">
        <v>33</v>
      </c>
      <c r="Q1094" s="4">
        <v>45946</v>
      </c>
      <c r="R1094" s="4"/>
      <c r="S1094" t="str">
        <f>TEXT(Table1[[#This Row],[Hiring Date]],"mmmm")</f>
        <v>October</v>
      </c>
      <c r="T1094" s="1">
        <f>COUNTIF(S:S,Table1[[#This Row],[Months List]])</f>
        <v>0</v>
      </c>
      <c r="U1094" t="str">
        <f>TEXT(Table1[[#This Row],[Hiring Date]],"dddd")</f>
        <v>Thursday</v>
      </c>
      <c r="V1094" s="1" t="str">
        <f>TEXT(Table1[[#This Row],[Hiring Date]],"yyyy")</f>
        <v>2025</v>
      </c>
    </row>
    <row r="1095" spans="1:22">
      <c r="A1095" t="s">
        <v>668</v>
      </c>
      <c r="B1095">
        <v>43</v>
      </c>
      <c r="C1095">
        <v>422</v>
      </c>
      <c r="D1095" t="s">
        <v>14</v>
      </c>
      <c r="E1095" t="s">
        <v>1497</v>
      </c>
      <c r="F1095" t="s">
        <v>1499</v>
      </c>
      <c r="G1095">
        <v>33</v>
      </c>
      <c r="H1095">
        <v>3</v>
      </c>
      <c r="I1095">
        <v>2</v>
      </c>
      <c r="J1095" t="s">
        <v>1478</v>
      </c>
      <c r="K1095" t="s">
        <v>1479</v>
      </c>
      <c r="L1095">
        <v>4</v>
      </c>
      <c r="M1095" t="s">
        <v>15</v>
      </c>
      <c r="N1095">
        <v>4</v>
      </c>
      <c r="O1095" t="s">
        <v>13</v>
      </c>
      <c r="P1095">
        <v>12</v>
      </c>
      <c r="Q1095" s="4">
        <v>45809</v>
      </c>
      <c r="R1095" s="4"/>
      <c r="S1095" t="str">
        <f>TEXT(Table1[[#This Row],[Hiring Date]],"mmmm")</f>
        <v>June</v>
      </c>
      <c r="T1095" s="1">
        <f>COUNTIF(S:S,Table1[[#This Row],[Months List]])</f>
        <v>0</v>
      </c>
      <c r="U1095" t="str">
        <f>TEXT(Table1[[#This Row],[Hiring Date]],"dddd")</f>
        <v>Sunday</v>
      </c>
      <c r="V1095" s="1" t="str">
        <f>TEXT(Table1[[#This Row],[Hiring Date]],"yyyy")</f>
        <v>2025</v>
      </c>
    </row>
    <row r="1096" spans="1:22">
      <c r="A1096" t="s">
        <v>669</v>
      </c>
      <c r="B1096">
        <v>47</v>
      </c>
      <c r="C1096">
        <v>249</v>
      </c>
      <c r="D1096" t="s">
        <v>11</v>
      </c>
      <c r="E1096" t="s">
        <v>1498</v>
      </c>
      <c r="F1096" t="s">
        <v>1499</v>
      </c>
      <c r="G1096">
        <v>35</v>
      </c>
      <c r="H1096">
        <v>3</v>
      </c>
      <c r="I1096">
        <v>2</v>
      </c>
      <c r="J1096" t="s">
        <v>1474</v>
      </c>
      <c r="K1096" t="s">
        <v>1475</v>
      </c>
      <c r="L1096">
        <v>4</v>
      </c>
      <c r="M1096" t="s">
        <v>15</v>
      </c>
      <c r="N1096">
        <v>0</v>
      </c>
      <c r="O1096" t="s">
        <v>10</v>
      </c>
      <c r="P1096">
        <v>8</v>
      </c>
      <c r="Q1096" s="4">
        <v>45945</v>
      </c>
      <c r="R1096" s="4"/>
      <c r="S1096" t="str">
        <f>TEXT(Table1[[#This Row],[Hiring Date]],"mmmm")</f>
        <v>October</v>
      </c>
      <c r="T1096" s="1">
        <f>COUNTIF(S:S,Table1[[#This Row],[Months List]])</f>
        <v>0</v>
      </c>
      <c r="U1096" t="str">
        <f>TEXT(Table1[[#This Row],[Hiring Date]],"dddd")</f>
        <v>Wednesday</v>
      </c>
      <c r="V1096" s="1" t="str">
        <f>TEXT(Table1[[#This Row],[Hiring Date]],"yyyy")</f>
        <v>2025</v>
      </c>
    </row>
    <row r="1097" spans="1:22">
      <c r="A1097" t="s">
        <v>670</v>
      </c>
      <c r="B1097">
        <v>37</v>
      </c>
      <c r="C1097">
        <v>1252</v>
      </c>
      <c r="D1097" t="s">
        <v>11</v>
      </c>
      <c r="E1097" t="s">
        <v>1495</v>
      </c>
      <c r="F1097" t="s">
        <v>1496</v>
      </c>
      <c r="G1097">
        <v>32</v>
      </c>
      <c r="H1097">
        <v>3</v>
      </c>
      <c r="I1097">
        <v>3</v>
      </c>
      <c r="J1097" t="s">
        <v>1474</v>
      </c>
      <c r="K1097" t="s">
        <v>1475</v>
      </c>
      <c r="L1097">
        <v>2</v>
      </c>
      <c r="M1097" t="s">
        <v>12</v>
      </c>
      <c r="N1097">
        <v>1</v>
      </c>
      <c r="O1097" t="s">
        <v>10</v>
      </c>
      <c r="P1097">
        <v>10</v>
      </c>
      <c r="Q1097" s="4">
        <v>45839</v>
      </c>
      <c r="R1097" s="4"/>
      <c r="S1097" t="str">
        <f>TEXT(Table1[[#This Row],[Hiring Date]],"mmmm")</f>
        <v>July</v>
      </c>
      <c r="T1097" s="1">
        <f>COUNTIF(S:S,Table1[[#This Row],[Months List]])</f>
        <v>0</v>
      </c>
      <c r="U1097" t="str">
        <f>TEXT(Table1[[#This Row],[Hiring Date]],"dddd")</f>
        <v>Tuesday</v>
      </c>
      <c r="V1097" s="1" t="str">
        <f>TEXT(Table1[[#This Row],[Hiring Date]],"yyyy")</f>
        <v>2025</v>
      </c>
    </row>
    <row r="1098" spans="1:22">
      <c r="A1098" t="s">
        <v>671</v>
      </c>
      <c r="B1098">
        <v>50</v>
      </c>
      <c r="C1098">
        <v>881</v>
      </c>
      <c r="D1098" t="s">
        <v>14</v>
      </c>
      <c r="E1098" t="s">
        <v>1497</v>
      </c>
      <c r="F1098" t="s">
        <v>1496</v>
      </c>
      <c r="G1098">
        <v>98</v>
      </c>
      <c r="H1098">
        <v>3</v>
      </c>
      <c r="I1098">
        <v>4</v>
      </c>
      <c r="J1098" t="s">
        <v>1482</v>
      </c>
      <c r="K1098" t="s">
        <v>1483</v>
      </c>
      <c r="L1098">
        <v>1</v>
      </c>
      <c r="M1098" t="s">
        <v>16</v>
      </c>
      <c r="N1098">
        <v>1</v>
      </c>
      <c r="O1098" t="s">
        <v>13</v>
      </c>
      <c r="P1098">
        <v>31</v>
      </c>
      <c r="Q1098" s="4">
        <v>45966</v>
      </c>
      <c r="R1098" s="4"/>
      <c r="S1098" t="str">
        <f>TEXT(Table1[[#This Row],[Hiring Date]],"mmmm")</f>
        <v>November</v>
      </c>
      <c r="T1098" s="1">
        <f>COUNTIF(S:S,Table1[[#This Row],[Months List]])</f>
        <v>0</v>
      </c>
      <c r="U1098" t="str">
        <f>TEXT(Table1[[#This Row],[Hiring Date]],"dddd")</f>
        <v>Wednesday</v>
      </c>
      <c r="V1098" s="1" t="str">
        <f>TEXT(Table1[[#This Row],[Hiring Date]],"yyyy")</f>
        <v>2025</v>
      </c>
    </row>
    <row r="1099" spans="1:22">
      <c r="A1099" t="s">
        <v>672</v>
      </c>
      <c r="B1099">
        <v>39</v>
      </c>
      <c r="C1099">
        <v>1383</v>
      </c>
      <c r="D1099" t="s">
        <v>17</v>
      </c>
      <c r="E1099" t="s">
        <v>1497</v>
      </c>
      <c r="F1099" t="s">
        <v>1499</v>
      </c>
      <c r="G1099">
        <v>42</v>
      </c>
      <c r="H1099">
        <v>2</v>
      </c>
      <c r="I1099">
        <v>2</v>
      </c>
      <c r="J1099" t="s">
        <v>1486</v>
      </c>
      <c r="K1099" t="s">
        <v>17</v>
      </c>
      <c r="L1099">
        <v>4</v>
      </c>
      <c r="M1099" t="s">
        <v>15</v>
      </c>
      <c r="N1099">
        <v>8</v>
      </c>
      <c r="O1099" t="s">
        <v>13</v>
      </c>
      <c r="P1099">
        <v>13</v>
      </c>
      <c r="Q1099" s="4">
        <v>45830</v>
      </c>
      <c r="R1099" s="4"/>
      <c r="S1099" t="str">
        <f>TEXT(Table1[[#This Row],[Hiring Date]],"mmmm")</f>
        <v>June</v>
      </c>
      <c r="T1099" s="1">
        <f>COUNTIF(S:S,Table1[[#This Row],[Months List]])</f>
        <v>0</v>
      </c>
      <c r="U1099" t="str">
        <f>TEXT(Table1[[#This Row],[Hiring Date]],"dddd")</f>
        <v>Sunday</v>
      </c>
      <c r="V1099" s="1" t="str">
        <f>TEXT(Table1[[#This Row],[Hiring Date]],"yyyy")</f>
        <v>2025</v>
      </c>
    </row>
    <row r="1100" spans="1:22">
      <c r="A1100" t="s">
        <v>673</v>
      </c>
      <c r="B1100">
        <v>33</v>
      </c>
      <c r="C1100">
        <v>1075</v>
      </c>
      <c r="D1100" t="s">
        <v>17</v>
      </c>
      <c r="E1100" t="s">
        <v>17</v>
      </c>
      <c r="F1100" t="s">
        <v>1496</v>
      </c>
      <c r="G1100">
        <v>57</v>
      </c>
      <c r="H1100">
        <v>3</v>
      </c>
      <c r="I1100">
        <v>1</v>
      </c>
      <c r="J1100" t="s">
        <v>1486</v>
      </c>
      <c r="K1100" t="s">
        <v>17</v>
      </c>
      <c r="L1100">
        <v>2</v>
      </c>
      <c r="M1100" t="s">
        <v>16</v>
      </c>
      <c r="N1100">
        <v>3</v>
      </c>
      <c r="O1100" t="s">
        <v>10</v>
      </c>
      <c r="P1100">
        <v>7</v>
      </c>
      <c r="Q1100" s="4">
        <v>45882</v>
      </c>
      <c r="R1100" s="4"/>
      <c r="S1100" t="str">
        <f>TEXT(Table1[[#This Row],[Hiring Date]],"mmmm")</f>
        <v>August</v>
      </c>
      <c r="T1100" s="1">
        <f>COUNTIF(S:S,Table1[[#This Row],[Months List]])</f>
        <v>0</v>
      </c>
      <c r="U1100" t="str">
        <f>TEXT(Table1[[#This Row],[Hiring Date]],"dddd")</f>
        <v>Wednesday</v>
      </c>
      <c r="V1100" s="1" t="str">
        <f>TEXT(Table1[[#This Row],[Hiring Date]],"yyyy")</f>
        <v>2025</v>
      </c>
    </row>
    <row r="1101" spans="1:22">
      <c r="A1101" t="s">
        <v>674</v>
      </c>
      <c r="B1101">
        <v>32</v>
      </c>
      <c r="C1101">
        <v>374</v>
      </c>
      <c r="D1101" t="s">
        <v>14</v>
      </c>
      <c r="E1101" t="s">
        <v>1497</v>
      </c>
      <c r="F1101" t="s">
        <v>1496</v>
      </c>
      <c r="G1101">
        <v>87</v>
      </c>
      <c r="H1101">
        <v>3</v>
      </c>
      <c r="I1101">
        <v>1</v>
      </c>
      <c r="J1101" t="s">
        <v>1484</v>
      </c>
      <c r="K1101" t="s">
        <v>1485</v>
      </c>
      <c r="L1101">
        <v>4</v>
      </c>
      <c r="M1101" t="s">
        <v>12</v>
      </c>
      <c r="N1101">
        <v>1</v>
      </c>
      <c r="O1101" t="s">
        <v>10</v>
      </c>
      <c r="P1101">
        <v>1</v>
      </c>
      <c r="Q1101" s="4">
        <v>45824</v>
      </c>
      <c r="R1101" s="4"/>
      <c r="S1101" t="str">
        <f>TEXT(Table1[[#This Row],[Hiring Date]],"mmmm")</f>
        <v>June</v>
      </c>
      <c r="T1101" s="1">
        <f>COUNTIF(S:S,Table1[[#This Row],[Months List]])</f>
        <v>0</v>
      </c>
      <c r="U1101" t="str">
        <f>TEXT(Table1[[#This Row],[Hiring Date]],"dddd")</f>
        <v>Monday</v>
      </c>
      <c r="V1101" s="1" t="str">
        <f>TEXT(Table1[[#This Row],[Hiring Date]],"yyyy")</f>
        <v>2025</v>
      </c>
    </row>
    <row r="1102" spans="1:22">
      <c r="A1102" t="s">
        <v>675</v>
      </c>
      <c r="B1102">
        <v>29</v>
      </c>
      <c r="C1102">
        <v>1086</v>
      </c>
      <c r="D1102" t="s">
        <v>14</v>
      </c>
      <c r="E1102" t="s">
        <v>1495</v>
      </c>
      <c r="F1102" t="s">
        <v>1499</v>
      </c>
      <c r="G1102">
        <v>62</v>
      </c>
      <c r="H1102">
        <v>2</v>
      </c>
      <c r="I1102">
        <v>1</v>
      </c>
      <c r="J1102" t="s">
        <v>1484</v>
      </c>
      <c r="K1102" t="s">
        <v>1485</v>
      </c>
      <c r="L1102">
        <v>4</v>
      </c>
      <c r="M1102" t="s">
        <v>16</v>
      </c>
      <c r="N1102">
        <v>6</v>
      </c>
      <c r="O1102" t="s">
        <v>13</v>
      </c>
      <c r="P1102">
        <v>8</v>
      </c>
      <c r="Q1102" s="4">
        <v>45790</v>
      </c>
      <c r="R1102" s="4"/>
      <c r="S1102" t="str">
        <f>TEXT(Table1[[#This Row],[Hiring Date]],"mmmm")</f>
        <v>May</v>
      </c>
      <c r="T1102" s="1">
        <f>COUNTIF(S:S,Table1[[#This Row],[Months List]])</f>
        <v>0</v>
      </c>
      <c r="U1102" t="str">
        <f>TEXT(Table1[[#This Row],[Hiring Date]],"dddd")</f>
        <v>Tuesday</v>
      </c>
      <c r="V1102" s="1" t="str">
        <f>TEXT(Table1[[#This Row],[Hiring Date]],"yyyy")</f>
        <v>2025</v>
      </c>
    </row>
    <row r="1103" spans="1:22">
      <c r="A1103" t="s">
        <v>676</v>
      </c>
      <c r="B1103">
        <v>44</v>
      </c>
      <c r="C1103">
        <v>661</v>
      </c>
      <c r="D1103" t="s">
        <v>14</v>
      </c>
      <c r="E1103" t="s">
        <v>1497</v>
      </c>
      <c r="F1103" t="s">
        <v>1496</v>
      </c>
      <c r="G1103">
        <v>61</v>
      </c>
      <c r="H1103">
        <v>3</v>
      </c>
      <c r="I1103">
        <v>1</v>
      </c>
      <c r="J1103" t="s">
        <v>1476</v>
      </c>
      <c r="K1103" t="s">
        <v>1477</v>
      </c>
      <c r="L1103">
        <v>1</v>
      </c>
      <c r="M1103" t="s">
        <v>15</v>
      </c>
      <c r="N1103">
        <v>1</v>
      </c>
      <c r="O1103" t="s">
        <v>10</v>
      </c>
      <c r="P1103">
        <v>8</v>
      </c>
      <c r="Q1103" s="4">
        <v>45783</v>
      </c>
      <c r="R1103" s="4"/>
      <c r="S1103" t="str">
        <f>TEXT(Table1[[#This Row],[Hiring Date]],"mmmm")</f>
        <v>May</v>
      </c>
      <c r="T1103" s="1">
        <f>COUNTIF(S:S,Table1[[#This Row],[Months List]])</f>
        <v>0</v>
      </c>
      <c r="U1103" t="str">
        <f>TEXT(Table1[[#This Row],[Hiring Date]],"dddd")</f>
        <v>Tuesday</v>
      </c>
      <c r="V1103" s="1" t="str">
        <f>TEXT(Table1[[#This Row],[Hiring Date]],"yyyy")</f>
        <v>2025</v>
      </c>
    </row>
    <row r="1104" spans="1:22">
      <c r="A1104" t="s">
        <v>74</v>
      </c>
      <c r="B1104">
        <v>35</v>
      </c>
      <c r="C1104">
        <v>853</v>
      </c>
      <c r="D1104" t="s">
        <v>11</v>
      </c>
      <c r="E1104" t="s">
        <v>1497</v>
      </c>
      <c r="F1104" t="s">
        <v>1496</v>
      </c>
      <c r="G1104">
        <v>71</v>
      </c>
      <c r="H1104">
        <v>3</v>
      </c>
      <c r="I1104">
        <v>3</v>
      </c>
      <c r="J1104" t="s">
        <v>1474</v>
      </c>
      <c r="K1104" t="s">
        <v>1475</v>
      </c>
      <c r="L1104">
        <v>1</v>
      </c>
      <c r="M1104" t="s">
        <v>15</v>
      </c>
      <c r="N1104">
        <v>1</v>
      </c>
      <c r="O1104" t="s">
        <v>13</v>
      </c>
      <c r="P1104">
        <v>9</v>
      </c>
      <c r="Q1104" s="4">
        <v>45817</v>
      </c>
      <c r="R1104" s="4"/>
      <c r="S1104" t="str">
        <f>TEXT(Table1[[#This Row],[Hiring Date]],"mmmm")</f>
        <v>June</v>
      </c>
      <c r="T1104" s="1">
        <f>COUNTIF(S:S,Table1[[#This Row],[Months List]])</f>
        <v>0</v>
      </c>
      <c r="U1104" t="str">
        <f>TEXT(Table1[[#This Row],[Hiring Date]],"dddd")</f>
        <v>Monday</v>
      </c>
      <c r="V1104" s="1" t="str">
        <f>TEXT(Table1[[#This Row],[Hiring Date]],"yyyy")</f>
        <v>2025</v>
      </c>
    </row>
    <row r="1105" spans="1:22">
      <c r="A1105" t="s">
        <v>677</v>
      </c>
      <c r="B1105">
        <v>28</v>
      </c>
      <c r="C1105">
        <v>821</v>
      </c>
      <c r="D1105" t="s">
        <v>11</v>
      </c>
      <c r="E1105" t="s">
        <v>1495</v>
      </c>
      <c r="F1105" t="s">
        <v>1496</v>
      </c>
      <c r="G1105">
        <v>98</v>
      </c>
      <c r="H1105">
        <v>3</v>
      </c>
      <c r="I1105">
        <v>2</v>
      </c>
      <c r="J1105" t="s">
        <v>1474</v>
      </c>
      <c r="K1105" t="s">
        <v>1475</v>
      </c>
      <c r="L1105">
        <v>4</v>
      </c>
      <c r="M1105" t="s">
        <v>12</v>
      </c>
      <c r="N1105">
        <v>1</v>
      </c>
      <c r="O1105" t="s">
        <v>13</v>
      </c>
      <c r="P1105">
        <v>4</v>
      </c>
      <c r="Q1105" s="4">
        <v>45937</v>
      </c>
      <c r="R1105" s="4"/>
      <c r="S1105" t="str">
        <f>TEXT(Table1[[#This Row],[Hiring Date]],"mmmm")</f>
        <v>October</v>
      </c>
      <c r="T1105" s="1">
        <f>COUNTIF(S:S,Table1[[#This Row],[Months List]])</f>
        <v>0</v>
      </c>
      <c r="U1105" t="str">
        <f>TEXT(Table1[[#This Row],[Hiring Date]],"dddd")</f>
        <v>Tuesday</v>
      </c>
      <c r="V1105" s="1" t="str">
        <f>TEXT(Table1[[#This Row],[Hiring Date]],"yyyy")</f>
        <v>2025</v>
      </c>
    </row>
    <row r="1106" spans="1:22">
      <c r="A1106" t="s">
        <v>678</v>
      </c>
      <c r="B1106">
        <v>58</v>
      </c>
      <c r="C1106">
        <v>781</v>
      </c>
      <c r="D1106" t="s">
        <v>14</v>
      </c>
      <c r="E1106" t="s">
        <v>1497</v>
      </c>
      <c r="F1106" t="s">
        <v>1496</v>
      </c>
      <c r="G1106">
        <v>57</v>
      </c>
      <c r="H1106">
        <v>2</v>
      </c>
      <c r="I1106">
        <v>1</v>
      </c>
      <c r="J1106" t="s">
        <v>1484</v>
      </c>
      <c r="K1106" t="s">
        <v>1485</v>
      </c>
      <c r="L1106">
        <v>4</v>
      </c>
      <c r="M1106" t="s">
        <v>16</v>
      </c>
      <c r="N1106">
        <v>9</v>
      </c>
      <c r="O1106" t="s">
        <v>10</v>
      </c>
      <c r="P1106">
        <v>3</v>
      </c>
      <c r="Q1106" s="4">
        <v>45845</v>
      </c>
      <c r="R1106" s="4"/>
      <c r="S1106" t="str">
        <f>TEXT(Table1[[#This Row],[Hiring Date]],"mmmm")</f>
        <v>July</v>
      </c>
      <c r="T1106" s="1">
        <f>COUNTIF(S:S,Table1[[#This Row],[Months List]])</f>
        <v>0</v>
      </c>
      <c r="U1106" t="str">
        <f>TEXT(Table1[[#This Row],[Hiring Date]],"dddd")</f>
        <v>Monday</v>
      </c>
      <c r="V1106" s="1" t="str">
        <f>TEXT(Table1[[#This Row],[Hiring Date]],"yyyy")</f>
        <v>2025</v>
      </c>
    </row>
    <row r="1107" spans="1:22">
      <c r="A1107" t="s">
        <v>679</v>
      </c>
      <c r="B1107">
        <v>43</v>
      </c>
      <c r="C1107">
        <v>177</v>
      </c>
      <c r="D1107" t="s">
        <v>14</v>
      </c>
      <c r="E1107" t="s">
        <v>1497</v>
      </c>
      <c r="F1107" t="s">
        <v>1499</v>
      </c>
      <c r="G1107">
        <v>55</v>
      </c>
      <c r="H1107">
        <v>3</v>
      </c>
      <c r="I1107">
        <v>2</v>
      </c>
      <c r="J1107" t="s">
        <v>1480</v>
      </c>
      <c r="K1107" t="s">
        <v>1481</v>
      </c>
      <c r="L1107">
        <v>2</v>
      </c>
      <c r="M1107" t="s">
        <v>16</v>
      </c>
      <c r="N1107">
        <v>4</v>
      </c>
      <c r="O1107" t="s">
        <v>13</v>
      </c>
      <c r="P1107">
        <v>4</v>
      </c>
      <c r="Q1107" s="4">
        <v>45634</v>
      </c>
      <c r="R1107" s="4"/>
      <c r="S1107" t="str">
        <f>TEXT(Table1[[#This Row],[Hiring Date]],"mmmm")</f>
        <v>December</v>
      </c>
      <c r="T1107" s="1">
        <f>COUNTIF(S:S,Table1[[#This Row],[Months List]])</f>
        <v>0</v>
      </c>
      <c r="U1107" t="str">
        <f>TEXT(Table1[[#This Row],[Hiring Date]],"dddd")</f>
        <v>Sunday</v>
      </c>
      <c r="V1107" s="1" t="str">
        <f>TEXT(Table1[[#This Row],[Hiring Date]],"yyyy")</f>
        <v>2024</v>
      </c>
    </row>
    <row r="1108" spans="1:22">
      <c r="A1108" t="s">
        <v>680</v>
      </c>
      <c r="B1108">
        <v>20</v>
      </c>
      <c r="C1108">
        <v>500</v>
      </c>
      <c r="D1108" t="s">
        <v>11</v>
      </c>
      <c r="E1108" t="s">
        <v>1495</v>
      </c>
      <c r="F1108" t="s">
        <v>1499</v>
      </c>
      <c r="G1108">
        <v>49</v>
      </c>
      <c r="H1108">
        <v>2</v>
      </c>
      <c r="I1108">
        <v>1</v>
      </c>
      <c r="J1108" t="s">
        <v>1489</v>
      </c>
      <c r="K1108" t="s">
        <v>1490</v>
      </c>
      <c r="L1108">
        <v>3</v>
      </c>
      <c r="M1108" t="s">
        <v>12</v>
      </c>
      <c r="N1108">
        <v>1</v>
      </c>
      <c r="O1108" t="s">
        <v>13</v>
      </c>
      <c r="P1108">
        <v>2</v>
      </c>
      <c r="Q1108" s="4">
        <v>45898</v>
      </c>
      <c r="R1108" s="4"/>
      <c r="S1108" t="str">
        <f>TEXT(Table1[[#This Row],[Hiring Date]],"mmmm")</f>
        <v>August</v>
      </c>
      <c r="T1108" s="1">
        <f>COUNTIF(S:S,Table1[[#This Row],[Months List]])</f>
        <v>0</v>
      </c>
      <c r="U1108" t="str">
        <f>TEXT(Table1[[#This Row],[Hiring Date]],"dddd")</f>
        <v>Friday</v>
      </c>
      <c r="V1108" s="1" t="str">
        <f>TEXT(Table1[[#This Row],[Hiring Date]],"yyyy")</f>
        <v>2025</v>
      </c>
    </row>
    <row r="1109" spans="1:22">
      <c r="A1109" t="s">
        <v>681</v>
      </c>
      <c r="B1109">
        <v>21</v>
      </c>
      <c r="C1109">
        <v>1427</v>
      </c>
      <c r="D1109" t="s">
        <v>14</v>
      </c>
      <c r="E1109" t="s">
        <v>1500</v>
      </c>
      <c r="F1109" t="s">
        <v>1499</v>
      </c>
      <c r="G1109">
        <v>65</v>
      </c>
      <c r="H1109">
        <v>3</v>
      </c>
      <c r="I1109">
        <v>1</v>
      </c>
      <c r="J1109" t="s">
        <v>1476</v>
      </c>
      <c r="K1109" t="s">
        <v>1477</v>
      </c>
      <c r="L1109">
        <v>4</v>
      </c>
      <c r="M1109" t="s">
        <v>12</v>
      </c>
      <c r="N1109">
        <v>1</v>
      </c>
      <c r="O1109" t="s">
        <v>13</v>
      </c>
      <c r="P1109">
        <v>1</v>
      </c>
      <c r="Q1109" s="4">
        <v>45807</v>
      </c>
      <c r="R1109" s="4"/>
      <c r="S1109" t="str">
        <f>TEXT(Table1[[#This Row],[Hiring Date]],"mmmm")</f>
        <v>May</v>
      </c>
      <c r="T1109" s="1">
        <f>COUNTIF(S:S,Table1[[#This Row],[Months List]])</f>
        <v>0</v>
      </c>
      <c r="U1109" t="str">
        <f>TEXT(Table1[[#This Row],[Hiring Date]],"dddd")</f>
        <v>Friday</v>
      </c>
      <c r="V1109" s="1" t="str">
        <f>TEXT(Table1[[#This Row],[Hiring Date]],"yyyy")</f>
        <v>2025</v>
      </c>
    </row>
    <row r="1110" spans="1:22">
      <c r="A1110" t="s">
        <v>682</v>
      </c>
      <c r="B1110">
        <v>36</v>
      </c>
      <c r="C1110">
        <v>1425</v>
      </c>
      <c r="D1110" t="s">
        <v>14</v>
      </c>
      <c r="E1110" t="s">
        <v>1497</v>
      </c>
      <c r="F1110" t="s">
        <v>1496</v>
      </c>
      <c r="G1110">
        <v>68</v>
      </c>
      <c r="H1110">
        <v>3</v>
      </c>
      <c r="I1110">
        <v>2</v>
      </c>
      <c r="J1110" t="s">
        <v>1478</v>
      </c>
      <c r="K1110" t="s">
        <v>1479</v>
      </c>
      <c r="L1110">
        <v>4</v>
      </c>
      <c r="M1110" t="s">
        <v>15</v>
      </c>
      <c r="N1110">
        <v>0</v>
      </c>
      <c r="O1110" t="s">
        <v>10</v>
      </c>
      <c r="P1110">
        <v>17</v>
      </c>
      <c r="Q1110" s="4">
        <v>45985</v>
      </c>
      <c r="R1110" s="4"/>
      <c r="S1110" t="str">
        <f>TEXT(Table1[[#This Row],[Hiring Date]],"mmmm")</f>
        <v>November</v>
      </c>
      <c r="T1110" s="1">
        <f>COUNTIF(S:S,Table1[[#This Row],[Months List]])</f>
        <v>0</v>
      </c>
      <c r="U1110" t="str">
        <f>TEXT(Table1[[#This Row],[Hiring Date]],"dddd")</f>
        <v>Monday</v>
      </c>
      <c r="V1110" s="1" t="str">
        <f>TEXT(Table1[[#This Row],[Hiring Date]],"yyyy")</f>
        <v>2025</v>
      </c>
    </row>
    <row r="1111" spans="1:22">
      <c r="A1111" t="s">
        <v>683</v>
      </c>
      <c r="B1111">
        <v>47</v>
      </c>
      <c r="C1111">
        <v>1454</v>
      </c>
      <c r="D1111" t="s">
        <v>11</v>
      </c>
      <c r="E1111" t="s">
        <v>1497</v>
      </c>
      <c r="F1111" t="s">
        <v>1499</v>
      </c>
      <c r="G1111">
        <v>65</v>
      </c>
      <c r="H1111">
        <v>2</v>
      </c>
      <c r="I1111">
        <v>1</v>
      </c>
      <c r="J1111" t="s">
        <v>1489</v>
      </c>
      <c r="K1111" t="s">
        <v>1490</v>
      </c>
      <c r="L1111">
        <v>4</v>
      </c>
      <c r="M1111" t="s">
        <v>12</v>
      </c>
      <c r="N1111">
        <v>1</v>
      </c>
      <c r="O1111" t="s">
        <v>10</v>
      </c>
      <c r="P1111">
        <v>3</v>
      </c>
      <c r="Q1111" s="4">
        <v>45894</v>
      </c>
      <c r="R1111" s="4"/>
      <c r="S1111" t="str">
        <f>TEXT(Table1[[#This Row],[Hiring Date]],"mmmm")</f>
        <v>August</v>
      </c>
      <c r="T1111" s="1">
        <f>COUNTIF(S:S,Table1[[#This Row],[Months List]])</f>
        <v>0</v>
      </c>
      <c r="U1111" t="str">
        <f>TEXT(Table1[[#This Row],[Hiring Date]],"dddd")</f>
        <v>Monday</v>
      </c>
      <c r="V1111" s="1" t="str">
        <f>TEXT(Table1[[#This Row],[Hiring Date]],"yyyy")</f>
        <v>2025</v>
      </c>
    </row>
    <row r="1112" spans="1:22">
      <c r="A1112" t="s">
        <v>684</v>
      </c>
      <c r="B1112">
        <v>22</v>
      </c>
      <c r="C1112">
        <v>617</v>
      </c>
      <c r="D1112" t="s">
        <v>14</v>
      </c>
      <c r="E1112" t="s">
        <v>1497</v>
      </c>
      <c r="F1112" t="s">
        <v>1499</v>
      </c>
      <c r="G1112">
        <v>34</v>
      </c>
      <c r="H1112">
        <v>3</v>
      </c>
      <c r="I1112">
        <v>2</v>
      </c>
      <c r="J1112" t="s">
        <v>1480</v>
      </c>
      <c r="K1112" t="s">
        <v>1481</v>
      </c>
      <c r="L1112">
        <v>3</v>
      </c>
      <c r="M1112" t="s">
        <v>15</v>
      </c>
      <c r="N1112">
        <v>0</v>
      </c>
      <c r="O1112" t="s">
        <v>10</v>
      </c>
      <c r="P1112">
        <v>4</v>
      </c>
      <c r="Q1112" s="4">
        <v>45814</v>
      </c>
      <c r="R1112" s="4"/>
      <c r="S1112" t="str">
        <f>TEXT(Table1[[#This Row],[Hiring Date]],"mmmm")</f>
        <v>June</v>
      </c>
      <c r="T1112" s="1">
        <f>COUNTIF(S:S,Table1[[#This Row],[Months List]])</f>
        <v>0</v>
      </c>
      <c r="U1112" t="str">
        <f>TEXT(Table1[[#This Row],[Hiring Date]],"dddd")</f>
        <v>Friday</v>
      </c>
      <c r="V1112" s="1" t="str">
        <f>TEXT(Table1[[#This Row],[Hiring Date]],"yyyy")</f>
        <v>2025</v>
      </c>
    </row>
    <row r="1113" spans="1:22">
      <c r="A1113" t="s">
        <v>685</v>
      </c>
      <c r="B1113">
        <v>41</v>
      </c>
      <c r="C1113">
        <v>1085</v>
      </c>
      <c r="D1113" t="s">
        <v>14</v>
      </c>
      <c r="E1113" t="s">
        <v>1497</v>
      </c>
      <c r="F1113" t="s">
        <v>1499</v>
      </c>
      <c r="G1113">
        <v>57</v>
      </c>
      <c r="H1113">
        <v>1</v>
      </c>
      <c r="I1113">
        <v>1</v>
      </c>
      <c r="J1113" t="s">
        <v>1484</v>
      </c>
      <c r="K1113" t="s">
        <v>1485</v>
      </c>
      <c r="L1113">
        <v>4</v>
      </c>
      <c r="M1113" t="s">
        <v>16</v>
      </c>
      <c r="N1113">
        <v>4</v>
      </c>
      <c r="O1113" t="s">
        <v>10</v>
      </c>
      <c r="P1113">
        <v>10</v>
      </c>
      <c r="Q1113" s="4">
        <v>45812</v>
      </c>
      <c r="R1113" s="4"/>
      <c r="S1113" t="str">
        <f>TEXT(Table1[[#This Row],[Hiring Date]],"mmmm")</f>
        <v>June</v>
      </c>
      <c r="T1113" s="1">
        <f>COUNTIF(S:S,Table1[[#This Row],[Months List]])</f>
        <v>0</v>
      </c>
      <c r="U1113" t="str">
        <f>TEXT(Table1[[#This Row],[Hiring Date]],"dddd")</f>
        <v>Wednesday</v>
      </c>
      <c r="V1113" s="1" t="str">
        <f>TEXT(Table1[[#This Row],[Hiring Date]],"yyyy")</f>
        <v>2025</v>
      </c>
    </row>
    <row r="1114" spans="1:22">
      <c r="A1114" t="s">
        <v>686</v>
      </c>
      <c r="B1114">
        <v>28</v>
      </c>
      <c r="C1114">
        <v>995</v>
      </c>
      <c r="D1114" t="s">
        <v>14</v>
      </c>
      <c r="E1114" t="s">
        <v>1495</v>
      </c>
      <c r="F1114" t="s">
        <v>1499</v>
      </c>
      <c r="G1114">
        <v>77</v>
      </c>
      <c r="H1114">
        <v>3</v>
      </c>
      <c r="I1114">
        <v>1</v>
      </c>
      <c r="J1114" t="s">
        <v>1476</v>
      </c>
      <c r="K1114" t="s">
        <v>1477</v>
      </c>
      <c r="L1114">
        <v>3</v>
      </c>
      <c r="M1114" t="s">
        <v>16</v>
      </c>
      <c r="N1114">
        <v>5</v>
      </c>
      <c r="O1114" t="s">
        <v>13</v>
      </c>
      <c r="P1114">
        <v>6</v>
      </c>
      <c r="Q1114" s="4">
        <v>45958</v>
      </c>
      <c r="R1114" s="4"/>
      <c r="S1114" t="str">
        <f>TEXT(Table1[[#This Row],[Hiring Date]],"mmmm")</f>
        <v>October</v>
      </c>
      <c r="T1114" s="1">
        <f>COUNTIF(S:S,Table1[[#This Row],[Months List]])</f>
        <v>0</v>
      </c>
      <c r="U1114" t="str">
        <f>TEXT(Table1[[#This Row],[Hiring Date]],"dddd")</f>
        <v>Tuesday</v>
      </c>
      <c r="V1114" s="1" t="str">
        <f>TEXT(Table1[[#This Row],[Hiring Date]],"yyyy")</f>
        <v>2025</v>
      </c>
    </row>
    <row r="1115" spans="1:22">
      <c r="A1115" t="s">
        <v>75</v>
      </c>
      <c r="B1115">
        <v>35</v>
      </c>
      <c r="C1115">
        <v>1142</v>
      </c>
      <c r="D1115" t="s">
        <v>14</v>
      </c>
      <c r="E1115" t="s">
        <v>1495</v>
      </c>
      <c r="F1115" t="s">
        <v>1499</v>
      </c>
      <c r="G1115">
        <v>30</v>
      </c>
      <c r="H1115">
        <v>3</v>
      </c>
      <c r="I1115">
        <v>1</v>
      </c>
      <c r="J1115" t="s">
        <v>1484</v>
      </c>
      <c r="K1115" t="s">
        <v>1485</v>
      </c>
      <c r="L1115">
        <v>1</v>
      </c>
      <c r="M1115" t="s">
        <v>15</v>
      </c>
      <c r="N1115">
        <v>3</v>
      </c>
      <c r="O1115" t="s">
        <v>10</v>
      </c>
      <c r="P1115">
        <v>4</v>
      </c>
      <c r="Q1115" s="4">
        <v>45843</v>
      </c>
      <c r="R1115" s="4"/>
      <c r="S1115" t="str">
        <f>TEXT(Table1[[#This Row],[Hiring Date]],"mmmm")</f>
        <v>July</v>
      </c>
      <c r="T1115" s="1">
        <f>COUNTIF(S:S,Table1[[#This Row],[Months List]])</f>
        <v>0</v>
      </c>
      <c r="U1115" t="str">
        <f>TEXT(Table1[[#This Row],[Hiring Date]],"dddd")</f>
        <v>Saturday</v>
      </c>
      <c r="V1115" s="1" t="str">
        <f>TEXT(Table1[[#This Row],[Hiring Date]],"yyyy")</f>
        <v>2025</v>
      </c>
    </row>
    <row r="1116" spans="1:22">
      <c r="A1116" t="s">
        <v>687</v>
      </c>
      <c r="B1116">
        <v>39</v>
      </c>
      <c r="C1116">
        <v>1122</v>
      </c>
      <c r="D1116" t="s">
        <v>14</v>
      </c>
      <c r="E1116" t="s">
        <v>1495</v>
      </c>
      <c r="F1116" t="s">
        <v>1496</v>
      </c>
      <c r="G1116">
        <v>70</v>
      </c>
      <c r="H1116">
        <v>3</v>
      </c>
      <c r="I1116">
        <v>1</v>
      </c>
      <c r="J1116" t="s">
        <v>1484</v>
      </c>
      <c r="K1116" t="s">
        <v>1485</v>
      </c>
      <c r="L1116">
        <v>1</v>
      </c>
      <c r="M1116" t="s">
        <v>15</v>
      </c>
      <c r="N1116">
        <v>7</v>
      </c>
      <c r="O1116" t="s">
        <v>10</v>
      </c>
      <c r="P1116">
        <v>8</v>
      </c>
      <c r="Q1116" s="4">
        <v>45865</v>
      </c>
      <c r="R1116" s="4"/>
      <c r="S1116" t="str">
        <f>TEXT(Table1[[#This Row],[Hiring Date]],"mmmm")</f>
        <v>July</v>
      </c>
      <c r="T1116" s="1">
        <f>COUNTIF(S:S,Table1[[#This Row],[Months List]])</f>
        <v>0</v>
      </c>
      <c r="U1116" t="str">
        <f>TEXT(Table1[[#This Row],[Hiring Date]],"dddd")</f>
        <v>Sunday</v>
      </c>
      <c r="V1116" s="1" t="str">
        <f>TEXT(Table1[[#This Row],[Hiring Date]],"yyyy")</f>
        <v>2025</v>
      </c>
    </row>
    <row r="1117" spans="1:22">
      <c r="A1117" t="s">
        <v>688</v>
      </c>
      <c r="B1117">
        <v>27</v>
      </c>
      <c r="C1117">
        <v>618</v>
      </c>
      <c r="D1117" t="s">
        <v>14</v>
      </c>
      <c r="E1117" t="s">
        <v>1497</v>
      </c>
      <c r="F1117" t="s">
        <v>1499</v>
      </c>
      <c r="G1117">
        <v>76</v>
      </c>
      <c r="H1117">
        <v>3</v>
      </c>
      <c r="I1117">
        <v>1</v>
      </c>
      <c r="J1117" t="s">
        <v>1476</v>
      </c>
      <c r="K1117" t="s">
        <v>1477</v>
      </c>
      <c r="L1117">
        <v>3</v>
      </c>
      <c r="M1117" t="s">
        <v>12</v>
      </c>
      <c r="N1117">
        <v>1</v>
      </c>
      <c r="O1117" t="s">
        <v>13</v>
      </c>
      <c r="P1117">
        <v>1</v>
      </c>
      <c r="Q1117" s="4">
        <v>45675</v>
      </c>
      <c r="R1117" s="4"/>
      <c r="S1117" t="str">
        <f>TEXT(Table1[[#This Row],[Hiring Date]],"mmmm")</f>
        <v>January</v>
      </c>
      <c r="T1117" s="1">
        <f>COUNTIF(S:S,Table1[[#This Row],[Months List]])</f>
        <v>0</v>
      </c>
      <c r="U1117" t="str">
        <f>TEXT(Table1[[#This Row],[Hiring Date]],"dddd")</f>
        <v>Saturday</v>
      </c>
      <c r="V1117" s="1" t="str">
        <f>TEXT(Table1[[#This Row],[Hiring Date]],"yyyy")</f>
        <v>2025</v>
      </c>
    </row>
    <row r="1118" spans="1:22">
      <c r="A1118" t="s">
        <v>689</v>
      </c>
      <c r="B1118">
        <v>34</v>
      </c>
      <c r="C1118">
        <v>546</v>
      </c>
      <c r="D1118" t="s">
        <v>14</v>
      </c>
      <c r="E1118" t="s">
        <v>1497</v>
      </c>
      <c r="F1118" t="s">
        <v>1496</v>
      </c>
      <c r="G1118">
        <v>83</v>
      </c>
      <c r="H1118">
        <v>3</v>
      </c>
      <c r="I1118">
        <v>1</v>
      </c>
      <c r="J1118" t="s">
        <v>1484</v>
      </c>
      <c r="K1118" t="s">
        <v>1485</v>
      </c>
      <c r="L1118">
        <v>2</v>
      </c>
      <c r="M1118" t="s">
        <v>16</v>
      </c>
      <c r="N1118">
        <v>1</v>
      </c>
      <c r="O1118" t="s">
        <v>13</v>
      </c>
      <c r="P1118">
        <v>1</v>
      </c>
      <c r="Q1118" s="4">
        <v>45897</v>
      </c>
      <c r="R1118" s="4"/>
      <c r="S1118" t="str">
        <f>TEXT(Table1[[#This Row],[Hiring Date]],"mmmm")</f>
        <v>August</v>
      </c>
      <c r="T1118" s="1">
        <f>COUNTIF(S:S,Table1[[#This Row],[Months List]])</f>
        <v>0</v>
      </c>
      <c r="U1118" t="str">
        <f>TEXT(Table1[[#This Row],[Hiring Date]],"dddd")</f>
        <v>Thursday</v>
      </c>
      <c r="V1118" s="1" t="str">
        <f>TEXT(Table1[[#This Row],[Hiring Date]],"yyyy")</f>
        <v>2025</v>
      </c>
    </row>
    <row r="1119" spans="1:22">
      <c r="A1119" t="s">
        <v>690</v>
      </c>
      <c r="B1119">
        <v>42</v>
      </c>
      <c r="C1119">
        <v>462</v>
      </c>
      <c r="D1119" t="s">
        <v>11</v>
      </c>
      <c r="E1119" t="s">
        <v>1495</v>
      </c>
      <c r="F1119" t="s">
        <v>1499</v>
      </c>
      <c r="G1119">
        <v>68</v>
      </c>
      <c r="H1119">
        <v>2</v>
      </c>
      <c r="I1119">
        <v>2</v>
      </c>
      <c r="J1119" t="s">
        <v>1474</v>
      </c>
      <c r="K1119" t="s">
        <v>1475</v>
      </c>
      <c r="L1119">
        <v>3</v>
      </c>
      <c r="M1119" t="s">
        <v>12</v>
      </c>
      <c r="N1119">
        <v>7</v>
      </c>
      <c r="O1119" t="s">
        <v>13</v>
      </c>
      <c r="P1119">
        <v>10</v>
      </c>
      <c r="Q1119" s="4">
        <v>45652</v>
      </c>
      <c r="R1119" s="4"/>
      <c r="S1119" t="str">
        <f>TEXT(Table1[[#This Row],[Hiring Date]],"mmmm")</f>
        <v>December</v>
      </c>
      <c r="T1119" s="1">
        <f>COUNTIF(S:S,Table1[[#This Row],[Months List]])</f>
        <v>0</v>
      </c>
      <c r="U1119" t="str">
        <f>TEXT(Table1[[#This Row],[Hiring Date]],"dddd")</f>
        <v>Thursday</v>
      </c>
      <c r="V1119" s="1" t="str">
        <f>TEXT(Table1[[#This Row],[Hiring Date]],"yyyy")</f>
        <v>2024</v>
      </c>
    </row>
    <row r="1120" spans="1:22">
      <c r="A1120" t="s">
        <v>691</v>
      </c>
      <c r="B1120">
        <v>33</v>
      </c>
      <c r="C1120">
        <v>1198</v>
      </c>
      <c r="D1120" t="s">
        <v>14</v>
      </c>
      <c r="E1120" t="s">
        <v>1500</v>
      </c>
      <c r="F1120" t="s">
        <v>1496</v>
      </c>
      <c r="G1120">
        <v>100</v>
      </c>
      <c r="H1120">
        <v>2</v>
      </c>
      <c r="I1120">
        <v>1</v>
      </c>
      <c r="J1120" t="s">
        <v>1476</v>
      </c>
      <c r="K1120" t="s">
        <v>1477</v>
      </c>
      <c r="L1120">
        <v>1</v>
      </c>
      <c r="M1120" t="s">
        <v>12</v>
      </c>
      <c r="N1120">
        <v>3</v>
      </c>
      <c r="O1120" t="s">
        <v>10</v>
      </c>
      <c r="P1120">
        <v>6</v>
      </c>
      <c r="Q1120" s="4">
        <v>45669</v>
      </c>
      <c r="R1120" s="4"/>
      <c r="S1120" t="str">
        <f>TEXT(Table1[[#This Row],[Hiring Date]],"mmmm")</f>
        <v>January</v>
      </c>
      <c r="T1120" s="1">
        <f>COUNTIF(S:S,Table1[[#This Row],[Months List]])</f>
        <v>0</v>
      </c>
      <c r="U1120" t="str">
        <f>TEXT(Table1[[#This Row],[Hiring Date]],"dddd")</f>
        <v>Sunday</v>
      </c>
      <c r="V1120" s="1" t="str">
        <f>TEXT(Table1[[#This Row],[Hiring Date]],"yyyy")</f>
        <v>2025</v>
      </c>
    </row>
    <row r="1121" spans="1:22">
      <c r="A1121" t="s">
        <v>692</v>
      </c>
      <c r="B1121">
        <v>58</v>
      </c>
      <c r="C1121">
        <v>1272</v>
      </c>
      <c r="D1121" t="s">
        <v>14</v>
      </c>
      <c r="E1121" t="s">
        <v>1501</v>
      </c>
      <c r="F1121" t="s">
        <v>1499</v>
      </c>
      <c r="G1121">
        <v>37</v>
      </c>
      <c r="H1121">
        <v>2</v>
      </c>
      <c r="I1121">
        <v>3</v>
      </c>
      <c r="J1121" t="s">
        <v>1478</v>
      </c>
      <c r="K1121" t="s">
        <v>1479</v>
      </c>
      <c r="L1121">
        <v>2</v>
      </c>
      <c r="M1121" t="s">
        <v>16</v>
      </c>
      <c r="N1121">
        <v>2</v>
      </c>
      <c r="O1121" t="s">
        <v>10</v>
      </c>
      <c r="P1121">
        <v>24</v>
      </c>
      <c r="Q1121" s="4">
        <v>45935</v>
      </c>
      <c r="R1121" s="4"/>
      <c r="S1121" t="str">
        <f>TEXT(Table1[[#This Row],[Hiring Date]],"mmmm")</f>
        <v>October</v>
      </c>
      <c r="T1121" s="1">
        <f>COUNTIF(S:S,Table1[[#This Row],[Months List]])</f>
        <v>0</v>
      </c>
      <c r="U1121" t="str">
        <f>TEXT(Table1[[#This Row],[Hiring Date]],"dddd")</f>
        <v>Sunday</v>
      </c>
      <c r="V1121" s="1" t="str">
        <f>TEXT(Table1[[#This Row],[Hiring Date]],"yyyy")</f>
        <v>2025</v>
      </c>
    </row>
    <row r="1122" spans="1:22">
      <c r="A1122" t="s">
        <v>693</v>
      </c>
      <c r="B1122">
        <v>31</v>
      </c>
      <c r="C1122">
        <v>154</v>
      </c>
      <c r="D1122" t="s">
        <v>11</v>
      </c>
      <c r="E1122" t="s">
        <v>1497</v>
      </c>
      <c r="F1122" t="s">
        <v>1496</v>
      </c>
      <c r="G1122">
        <v>41</v>
      </c>
      <c r="H1122">
        <v>2</v>
      </c>
      <c r="I1122">
        <v>1</v>
      </c>
      <c r="J1122" t="s">
        <v>1489</v>
      </c>
      <c r="K1122" t="s">
        <v>1490</v>
      </c>
      <c r="L1122">
        <v>3</v>
      </c>
      <c r="M1122" t="s">
        <v>15</v>
      </c>
      <c r="N1122">
        <v>3</v>
      </c>
      <c r="O1122" t="s">
        <v>13</v>
      </c>
      <c r="P1122">
        <v>13</v>
      </c>
      <c r="Q1122" s="4">
        <v>45812</v>
      </c>
      <c r="R1122" s="4"/>
      <c r="S1122" t="str">
        <f>TEXT(Table1[[#This Row],[Hiring Date]],"mmmm")</f>
        <v>June</v>
      </c>
      <c r="T1122" s="1">
        <f>COUNTIF(S:S,Table1[[#This Row],[Months List]])</f>
        <v>0</v>
      </c>
      <c r="U1122" t="str">
        <f>TEXT(Table1[[#This Row],[Hiring Date]],"dddd")</f>
        <v>Wednesday</v>
      </c>
      <c r="V1122" s="1" t="str">
        <f>TEXT(Table1[[#This Row],[Hiring Date]],"yyyy")</f>
        <v>2025</v>
      </c>
    </row>
    <row r="1123" spans="1:22">
      <c r="A1123" t="s">
        <v>694</v>
      </c>
      <c r="B1123">
        <v>35</v>
      </c>
      <c r="C1123">
        <v>1137</v>
      </c>
      <c r="D1123" t="s">
        <v>14</v>
      </c>
      <c r="E1123" t="s">
        <v>1497</v>
      </c>
      <c r="F1123" t="s">
        <v>1499</v>
      </c>
      <c r="G1123">
        <v>51</v>
      </c>
      <c r="H1123">
        <v>3</v>
      </c>
      <c r="I1123">
        <v>2</v>
      </c>
      <c r="J1123" t="s">
        <v>1478</v>
      </c>
      <c r="K1123" t="s">
        <v>1479</v>
      </c>
      <c r="L1123">
        <v>4</v>
      </c>
      <c r="M1123" t="s">
        <v>15</v>
      </c>
      <c r="N1123">
        <v>1</v>
      </c>
      <c r="O1123" t="s">
        <v>10</v>
      </c>
      <c r="P1123">
        <v>10</v>
      </c>
      <c r="Q1123" s="4">
        <v>45798</v>
      </c>
      <c r="R1123" s="4"/>
      <c r="S1123" t="str">
        <f>TEXT(Table1[[#This Row],[Hiring Date]],"mmmm")</f>
        <v>May</v>
      </c>
      <c r="T1123" s="1">
        <f>COUNTIF(S:S,Table1[[#This Row],[Months List]])</f>
        <v>0</v>
      </c>
      <c r="U1123" t="str">
        <f>TEXT(Table1[[#This Row],[Hiring Date]],"dddd")</f>
        <v>Wednesday</v>
      </c>
      <c r="V1123" s="1" t="str">
        <f>TEXT(Table1[[#This Row],[Hiring Date]],"yyyy")</f>
        <v>2025</v>
      </c>
    </row>
    <row r="1124" spans="1:22">
      <c r="A1124" t="s">
        <v>695</v>
      </c>
      <c r="B1124">
        <v>49</v>
      </c>
      <c r="C1124">
        <v>527</v>
      </c>
      <c r="D1124" t="s">
        <v>14</v>
      </c>
      <c r="E1124" t="s">
        <v>1500</v>
      </c>
      <c r="F1124" t="s">
        <v>1499</v>
      </c>
      <c r="G1124">
        <v>51</v>
      </c>
      <c r="H1124">
        <v>3</v>
      </c>
      <c r="I1124">
        <v>3</v>
      </c>
      <c r="J1124" t="s">
        <v>1484</v>
      </c>
      <c r="K1124" t="s">
        <v>1485</v>
      </c>
      <c r="L1124">
        <v>2</v>
      </c>
      <c r="M1124" t="s">
        <v>15</v>
      </c>
      <c r="N1124">
        <v>4</v>
      </c>
      <c r="O1124" t="s">
        <v>13</v>
      </c>
      <c r="P1124">
        <v>29</v>
      </c>
      <c r="Q1124" s="4">
        <v>45817</v>
      </c>
      <c r="R1124" s="4"/>
      <c r="S1124" t="str">
        <f>TEXT(Table1[[#This Row],[Hiring Date]],"mmmm")</f>
        <v>June</v>
      </c>
      <c r="T1124" s="1">
        <f>COUNTIF(S:S,Table1[[#This Row],[Months List]])</f>
        <v>0</v>
      </c>
      <c r="U1124" t="str">
        <f>TEXT(Table1[[#This Row],[Hiring Date]],"dddd")</f>
        <v>Monday</v>
      </c>
      <c r="V1124" s="1" t="str">
        <f>TEXT(Table1[[#This Row],[Hiring Date]],"yyyy")</f>
        <v>2025</v>
      </c>
    </row>
    <row r="1125" spans="1:22">
      <c r="A1125" t="s">
        <v>696</v>
      </c>
      <c r="B1125">
        <v>48</v>
      </c>
      <c r="C1125">
        <v>1469</v>
      </c>
      <c r="D1125" t="s">
        <v>14</v>
      </c>
      <c r="E1125" t="s">
        <v>1495</v>
      </c>
      <c r="F1125" t="s">
        <v>1496</v>
      </c>
      <c r="G1125">
        <v>51</v>
      </c>
      <c r="H1125">
        <v>3</v>
      </c>
      <c r="I1125">
        <v>1</v>
      </c>
      <c r="J1125" t="s">
        <v>1476</v>
      </c>
      <c r="K1125" t="s">
        <v>1477</v>
      </c>
      <c r="L1125">
        <v>3</v>
      </c>
      <c r="M1125" t="s">
        <v>15</v>
      </c>
      <c r="N1125">
        <v>4</v>
      </c>
      <c r="O1125" t="s">
        <v>13</v>
      </c>
      <c r="P1125">
        <v>13</v>
      </c>
      <c r="Q1125" s="4">
        <v>45776</v>
      </c>
      <c r="R1125" s="4"/>
      <c r="S1125" t="str">
        <f>TEXT(Table1[[#This Row],[Hiring Date]],"mmmm")</f>
        <v>April</v>
      </c>
      <c r="T1125" s="1">
        <f>COUNTIF(S:S,Table1[[#This Row],[Months List]])</f>
        <v>0</v>
      </c>
      <c r="U1125" t="str">
        <f>TEXT(Table1[[#This Row],[Hiring Date]],"dddd")</f>
        <v>Tuesday</v>
      </c>
      <c r="V1125" s="1" t="str">
        <f>TEXT(Table1[[#This Row],[Hiring Date]],"yyyy")</f>
        <v>2025</v>
      </c>
    </row>
    <row r="1126" spans="1:22">
      <c r="A1126" t="s">
        <v>76</v>
      </c>
      <c r="B1126">
        <v>31</v>
      </c>
      <c r="C1126">
        <v>655</v>
      </c>
      <c r="D1126" t="s">
        <v>14</v>
      </c>
      <c r="E1126" t="s">
        <v>1497</v>
      </c>
      <c r="F1126" t="s">
        <v>1496</v>
      </c>
      <c r="G1126">
        <v>48</v>
      </c>
      <c r="H1126">
        <v>3</v>
      </c>
      <c r="I1126">
        <v>2</v>
      </c>
      <c r="J1126" t="s">
        <v>1484</v>
      </c>
      <c r="K1126" t="s">
        <v>1485</v>
      </c>
      <c r="L1126">
        <v>4</v>
      </c>
      <c r="M1126" t="s">
        <v>16</v>
      </c>
      <c r="N1126">
        <v>3</v>
      </c>
      <c r="O1126" t="s">
        <v>13</v>
      </c>
      <c r="P1126">
        <v>10</v>
      </c>
      <c r="Q1126" s="4">
        <v>45911</v>
      </c>
      <c r="R1126" s="4"/>
      <c r="S1126" t="str">
        <f>TEXT(Table1[[#This Row],[Hiring Date]],"mmmm")</f>
        <v>September</v>
      </c>
      <c r="T1126" s="1">
        <f>COUNTIF(S:S,Table1[[#This Row],[Months List]])</f>
        <v>0</v>
      </c>
      <c r="U1126" t="str">
        <f>TEXT(Table1[[#This Row],[Hiring Date]],"dddd")</f>
        <v>Thursday</v>
      </c>
      <c r="V1126" s="1" t="str">
        <f>TEXT(Table1[[#This Row],[Hiring Date]],"yyyy")</f>
        <v>2025</v>
      </c>
    </row>
    <row r="1127" spans="1:22">
      <c r="A1127" t="s">
        <v>697</v>
      </c>
      <c r="B1127">
        <v>31</v>
      </c>
      <c r="C1127">
        <v>1188</v>
      </c>
      <c r="D1127" t="s">
        <v>11</v>
      </c>
      <c r="E1127" t="s">
        <v>1498</v>
      </c>
      <c r="F1127" t="s">
        <v>1499</v>
      </c>
      <c r="G1127">
        <v>45</v>
      </c>
      <c r="H1127">
        <v>3</v>
      </c>
      <c r="I1127">
        <v>2</v>
      </c>
      <c r="J1127" t="s">
        <v>1474</v>
      </c>
      <c r="K1127" t="s">
        <v>1475</v>
      </c>
      <c r="L1127">
        <v>3</v>
      </c>
      <c r="M1127" t="s">
        <v>15</v>
      </c>
      <c r="N1127">
        <v>1</v>
      </c>
      <c r="O1127" t="s">
        <v>13</v>
      </c>
      <c r="P1127">
        <v>9</v>
      </c>
      <c r="Q1127" s="4">
        <v>45922</v>
      </c>
      <c r="R1127" s="4"/>
      <c r="S1127" t="str">
        <f>TEXT(Table1[[#This Row],[Hiring Date]],"mmmm")</f>
        <v>September</v>
      </c>
      <c r="T1127" s="1">
        <f>COUNTIF(S:S,Table1[[#This Row],[Months List]])</f>
        <v>0</v>
      </c>
      <c r="U1127" t="str">
        <f>TEXT(Table1[[#This Row],[Hiring Date]],"dddd")</f>
        <v>Monday</v>
      </c>
      <c r="V1127" s="1" t="str">
        <f>TEXT(Table1[[#This Row],[Hiring Date]],"yyyy")</f>
        <v>2025</v>
      </c>
    </row>
    <row r="1128" spans="1:22">
      <c r="A1128" t="s">
        <v>698</v>
      </c>
      <c r="B1128">
        <v>36</v>
      </c>
      <c r="C1128">
        <v>188</v>
      </c>
      <c r="D1128" t="s">
        <v>14</v>
      </c>
      <c r="E1128" t="s">
        <v>1500</v>
      </c>
      <c r="F1128" t="s">
        <v>1496</v>
      </c>
      <c r="G1128">
        <v>65</v>
      </c>
      <c r="H1128">
        <v>3</v>
      </c>
      <c r="I1128">
        <v>1</v>
      </c>
      <c r="J1128" t="s">
        <v>1476</v>
      </c>
      <c r="K1128" t="s">
        <v>1477</v>
      </c>
      <c r="L1128">
        <v>4</v>
      </c>
      <c r="M1128" t="s">
        <v>12</v>
      </c>
      <c r="N1128">
        <v>2</v>
      </c>
      <c r="O1128" t="s">
        <v>13</v>
      </c>
      <c r="P1128">
        <v>8</v>
      </c>
      <c r="Q1128" s="4">
        <v>45641</v>
      </c>
      <c r="R1128" s="4"/>
      <c r="S1128" t="str">
        <f>TEXT(Table1[[#This Row],[Hiring Date]],"mmmm")</f>
        <v>December</v>
      </c>
      <c r="T1128" s="1">
        <f>COUNTIF(S:S,Table1[[#This Row],[Months List]])</f>
        <v>0</v>
      </c>
      <c r="U1128" t="str">
        <f>TEXT(Table1[[#This Row],[Hiring Date]],"dddd")</f>
        <v>Sunday</v>
      </c>
      <c r="V1128" s="1" t="str">
        <f>TEXT(Table1[[#This Row],[Hiring Date]],"yyyy")</f>
        <v>2024</v>
      </c>
    </row>
    <row r="1129" spans="1:22">
      <c r="A1129" t="s">
        <v>699</v>
      </c>
      <c r="B1129">
        <v>38</v>
      </c>
      <c r="C1129">
        <v>1333</v>
      </c>
      <c r="D1129" t="s">
        <v>14</v>
      </c>
      <c r="E1129" t="s">
        <v>1501</v>
      </c>
      <c r="F1129" t="s">
        <v>1499</v>
      </c>
      <c r="G1129">
        <v>80</v>
      </c>
      <c r="H1129">
        <v>3</v>
      </c>
      <c r="I1129">
        <v>3</v>
      </c>
      <c r="J1129" t="s">
        <v>1487</v>
      </c>
      <c r="K1129" t="s">
        <v>1488</v>
      </c>
      <c r="L1129">
        <v>1</v>
      </c>
      <c r="M1129" t="s">
        <v>15</v>
      </c>
      <c r="N1129">
        <v>1</v>
      </c>
      <c r="O1129" t="s">
        <v>13</v>
      </c>
      <c r="P1129">
        <v>15</v>
      </c>
      <c r="Q1129" s="4">
        <v>45816</v>
      </c>
      <c r="R1129" s="4"/>
      <c r="S1129" t="str">
        <f>TEXT(Table1[[#This Row],[Hiring Date]],"mmmm")</f>
        <v>June</v>
      </c>
      <c r="T1129" s="1">
        <f>COUNTIF(S:S,Table1[[#This Row],[Months List]])</f>
        <v>0</v>
      </c>
      <c r="U1129" t="str">
        <f>TEXT(Table1[[#This Row],[Hiring Date]],"dddd")</f>
        <v>Sunday</v>
      </c>
      <c r="V1129" s="1" t="str">
        <f>TEXT(Table1[[#This Row],[Hiring Date]],"yyyy")</f>
        <v>2025</v>
      </c>
    </row>
    <row r="1130" spans="1:22">
      <c r="A1130" t="s">
        <v>700</v>
      </c>
      <c r="B1130">
        <v>32</v>
      </c>
      <c r="C1130">
        <v>1184</v>
      </c>
      <c r="D1130" t="s">
        <v>14</v>
      </c>
      <c r="E1130" t="s">
        <v>1497</v>
      </c>
      <c r="F1130" t="s">
        <v>1499</v>
      </c>
      <c r="G1130">
        <v>70</v>
      </c>
      <c r="H1130">
        <v>2</v>
      </c>
      <c r="I1130">
        <v>1</v>
      </c>
      <c r="J1130" t="s">
        <v>1484</v>
      </c>
      <c r="K1130" t="s">
        <v>1485</v>
      </c>
      <c r="L1130">
        <v>2</v>
      </c>
      <c r="M1130" t="s">
        <v>15</v>
      </c>
      <c r="N1130">
        <v>6</v>
      </c>
      <c r="O1130" t="s">
        <v>13</v>
      </c>
      <c r="P1130">
        <v>5</v>
      </c>
      <c r="Q1130" s="4">
        <v>45778</v>
      </c>
      <c r="R1130" s="4"/>
      <c r="S1130" t="str">
        <f>TEXT(Table1[[#This Row],[Hiring Date]],"mmmm")</f>
        <v>May</v>
      </c>
      <c r="T1130" s="1">
        <f>COUNTIF(S:S,Table1[[#This Row],[Months List]])</f>
        <v>0</v>
      </c>
      <c r="U1130" t="str">
        <f>TEXT(Table1[[#This Row],[Hiring Date]],"dddd")</f>
        <v>Thursday</v>
      </c>
      <c r="V1130" s="1" t="str">
        <f>TEXT(Table1[[#This Row],[Hiring Date]],"yyyy")</f>
        <v>2025</v>
      </c>
    </row>
    <row r="1131" spans="1:22">
      <c r="A1131" t="s">
        <v>701</v>
      </c>
      <c r="B1131">
        <v>25</v>
      </c>
      <c r="C1131">
        <v>867</v>
      </c>
      <c r="D1131" t="s">
        <v>11</v>
      </c>
      <c r="E1131" t="s">
        <v>1498</v>
      </c>
      <c r="F1131" t="s">
        <v>1496</v>
      </c>
      <c r="G1131">
        <v>36</v>
      </c>
      <c r="H1131">
        <v>2</v>
      </c>
      <c r="I1131">
        <v>1</v>
      </c>
      <c r="J1131" t="s">
        <v>1489</v>
      </c>
      <c r="K1131" t="s">
        <v>1490</v>
      </c>
      <c r="L1131">
        <v>2</v>
      </c>
      <c r="M1131" t="s">
        <v>15</v>
      </c>
      <c r="N1131">
        <v>1</v>
      </c>
      <c r="O1131" t="s">
        <v>10</v>
      </c>
      <c r="P1131">
        <v>1</v>
      </c>
      <c r="Q1131" s="4">
        <v>45856</v>
      </c>
      <c r="R1131" s="4"/>
      <c r="S1131" t="str">
        <f>TEXT(Table1[[#This Row],[Hiring Date]],"mmmm")</f>
        <v>July</v>
      </c>
      <c r="T1131" s="1">
        <f>COUNTIF(S:S,Table1[[#This Row],[Months List]])</f>
        <v>0</v>
      </c>
      <c r="U1131" t="str">
        <f>TEXT(Table1[[#This Row],[Hiring Date]],"dddd")</f>
        <v>Friday</v>
      </c>
      <c r="V1131" s="1" t="str">
        <f>TEXT(Table1[[#This Row],[Hiring Date]],"yyyy")</f>
        <v>2025</v>
      </c>
    </row>
    <row r="1132" spans="1:22">
      <c r="A1132" t="s">
        <v>702</v>
      </c>
      <c r="B1132">
        <v>40</v>
      </c>
      <c r="C1132">
        <v>658</v>
      </c>
      <c r="D1132" t="s">
        <v>11</v>
      </c>
      <c r="E1132" t="s">
        <v>1498</v>
      </c>
      <c r="F1132" t="s">
        <v>1496</v>
      </c>
      <c r="G1132">
        <v>67</v>
      </c>
      <c r="H1132">
        <v>2</v>
      </c>
      <c r="I1132">
        <v>3</v>
      </c>
      <c r="J1132" t="s">
        <v>1474</v>
      </c>
      <c r="K1132" t="s">
        <v>1475</v>
      </c>
      <c r="L1132">
        <v>2</v>
      </c>
      <c r="M1132" t="s">
        <v>16</v>
      </c>
      <c r="N1132">
        <v>2</v>
      </c>
      <c r="O1132" t="s">
        <v>13</v>
      </c>
      <c r="P1132">
        <v>11</v>
      </c>
      <c r="Q1132" s="4">
        <v>45759</v>
      </c>
      <c r="R1132" s="4"/>
      <c r="S1132" t="str">
        <f>TEXT(Table1[[#This Row],[Hiring Date]],"mmmm")</f>
        <v>April</v>
      </c>
      <c r="T1132" s="1">
        <f>COUNTIF(S:S,Table1[[#This Row],[Months List]])</f>
        <v>0</v>
      </c>
      <c r="U1132" t="str">
        <f>TEXT(Table1[[#This Row],[Hiring Date]],"dddd")</f>
        <v>Saturday</v>
      </c>
      <c r="V1132" s="1" t="str">
        <f>TEXT(Table1[[#This Row],[Hiring Date]],"yyyy")</f>
        <v>2025</v>
      </c>
    </row>
    <row r="1133" spans="1:22">
      <c r="A1133" t="s">
        <v>703</v>
      </c>
      <c r="B1133">
        <v>26</v>
      </c>
      <c r="C1133">
        <v>1283</v>
      </c>
      <c r="D1133" t="s">
        <v>11</v>
      </c>
      <c r="E1133" t="s">
        <v>1495</v>
      </c>
      <c r="F1133" t="s">
        <v>1496</v>
      </c>
      <c r="G1133">
        <v>52</v>
      </c>
      <c r="H1133">
        <v>2</v>
      </c>
      <c r="I1133">
        <v>2</v>
      </c>
      <c r="J1133" t="s">
        <v>1474</v>
      </c>
      <c r="K1133" t="s">
        <v>1475</v>
      </c>
      <c r="L1133">
        <v>1</v>
      </c>
      <c r="M1133" t="s">
        <v>12</v>
      </c>
      <c r="N1133">
        <v>1</v>
      </c>
      <c r="O1133" t="s">
        <v>13</v>
      </c>
      <c r="P1133">
        <v>7</v>
      </c>
      <c r="Q1133" s="4">
        <v>45911</v>
      </c>
      <c r="R1133" s="4"/>
      <c r="S1133" t="str">
        <f>TEXT(Table1[[#This Row],[Hiring Date]],"mmmm")</f>
        <v>September</v>
      </c>
      <c r="T1133" s="1">
        <f>COUNTIF(S:S,Table1[[#This Row],[Months List]])</f>
        <v>0</v>
      </c>
      <c r="U1133" t="str">
        <f>TEXT(Table1[[#This Row],[Hiring Date]],"dddd")</f>
        <v>Thursday</v>
      </c>
      <c r="V1133" s="1" t="str">
        <f>TEXT(Table1[[#This Row],[Hiring Date]],"yyyy")</f>
        <v>2025</v>
      </c>
    </row>
    <row r="1134" spans="1:22">
      <c r="A1134" t="s">
        <v>704</v>
      </c>
      <c r="B1134">
        <v>41</v>
      </c>
      <c r="C1134">
        <v>263</v>
      </c>
      <c r="D1134" t="s">
        <v>14</v>
      </c>
      <c r="E1134" t="s">
        <v>1495</v>
      </c>
      <c r="F1134" t="s">
        <v>1496</v>
      </c>
      <c r="G1134">
        <v>59</v>
      </c>
      <c r="H1134">
        <v>3</v>
      </c>
      <c r="I1134">
        <v>1</v>
      </c>
      <c r="J1134" t="s">
        <v>1484</v>
      </c>
      <c r="K1134" t="s">
        <v>1485</v>
      </c>
      <c r="L1134">
        <v>1</v>
      </c>
      <c r="M1134" t="s">
        <v>12</v>
      </c>
      <c r="N1134">
        <v>2</v>
      </c>
      <c r="O1134" t="s">
        <v>10</v>
      </c>
      <c r="P1134">
        <v>20</v>
      </c>
      <c r="Q1134" s="4">
        <v>45992</v>
      </c>
      <c r="R1134" s="4"/>
      <c r="S1134" t="str">
        <f>TEXT(Table1[[#This Row],[Hiring Date]],"mmmm")</f>
        <v>December</v>
      </c>
      <c r="T1134" s="1">
        <f>COUNTIF(S:S,Table1[[#This Row],[Months List]])</f>
        <v>0</v>
      </c>
      <c r="U1134" t="str">
        <f>TEXT(Table1[[#This Row],[Hiring Date]],"dddd")</f>
        <v>Monday</v>
      </c>
      <c r="V1134" s="1" t="str">
        <f>TEXT(Table1[[#This Row],[Hiring Date]],"yyyy")</f>
        <v>2025</v>
      </c>
    </row>
    <row r="1135" spans="1:22">
      <c r="A1135" t="s">
        <v>705</v>
      </c>
      <c r="B1135">
        <v>36</v>
      </c>
      <c r="C1135">
        <v>938</v>
      </c>
      <c r="D1135" t="s">
        <v>14</v>
      </c>
      <c r="E1135" t="s">
        <v>1495</v>
      </c>
      <c r="F1135" t="s">
        <v>1496</v>
      </c>
      <c r="G1135">
        <v>79</v>
      </c>
      <c r="H1135">
        <v>3</v>
      </c>
      <c r="I1135">
        <v>1</v>
      </c>
      <c r="J1135" t="s">
        <v>1484</v>
      </c>
      <c r="K1135" t="s">
        <v>1485</v>
      </c>
      <c r="L1135">
        <v>3</v>
      </c>
      <c r="M1135" t="s">
        <v>12</v>
      </c>
      <c r="N1135">
        <v>4</v>
      </c>
      <c r="O1135" t="s">
        <v>13</v>
      </c>
      <c r="P1135">
        <v>16</v>
      </c>
      <c r="Q1135" s="4">
        <v>45682</v>
      </c>
      <c r="R1135" s="4"/>
      <c r="S1135" t="str">
        <f>TEXT(Table1[[#This Row],[Hiring Date]],"mmmm")</f>
        <v>January</v>
      </c>
      <c r="T1135" s="1">
        <f>COUNTIF(S:S,Table1[[#This Row],[Months List]])</f>
        <v>0</v>
      </c>
      <c r="U1135" t="str">
        <f>TEXT(Table1[[#This Row],[Hiring Date]],"dddd")</f>
        <v>Saturday</v>
      </c>
      <c r="V1135" s="1" t="str">
        <f>TEXT(Table1[[#This Row],[Hiring Date]],"yyyy")</f>
        <v>2025</v>
      </c>
    </row>
    <row r="1136" spans="1:22">
      <c r="A1136" t="s">
        <v>706</v>
      </c>
      <c r="B1136">
        <v>19</v>
      </c>
      <c r="C1136">
        <v>419</v>
      </c>
      <c r="D1136" t="s">
        <v>11</v>
      </c>
      <c r="E1136" t="s">
        <v>1500</v>
      </c>
      <c r="F1136" t="s">
        <v>1496</v>
      </c>
      <c r="G1136">
        <v>37</v>
      </c>
      <c r="H1136">
        <v>2</v>
      </c>
      <c r="I1136">
        <v>1</v>
      </c>
      <c r="J1136" t="s">
        <v>1489</v>
      </c>
      <c r="K1136" t="s">
        <v>1490</v>
      </c>
      <c r="L1136">
        <v>2</v>
      </c>
      <c r="M1136" t="s">
        <v>12</v>
      </c>
      <c r="N1136">
        <v>1</v>
      </c>
      <c r="O1136" t="s">
        <v>10</v>
      </c>
      <c r="P1136">
        <v>1</v>
      </c>
      <c r="Q1136" s="4">
        <v>45860</v>
      </c>
      <c r="R1136" s="4"/>
      <c r="S1136" t="str">
        <f>TEXT(Table1[[#This Row],[Hiring Date]],"mmmm")</f>
        <v>July</v>
      </c>
      <c r="T1136" s="1">
        <f>COUNTIF(S:S,Table1[[#This Row],[Months List]])</f>
        <v>0</v>
      </c>
      <c r="U1136" t="str">
        <f>TEXT(Table1[[#This Row],[Hiring Date]],"dddd")</f>
        <v>Tuesday</v>
      </c>
      <c r="V1136" s="1" t="str">
        <f>TEXT(Table1[[#This Row],[Hiring Date]],"yyyy")</f>
        <v>2025</v>
      </c>
    </row>
    <row r="1137" spans="1:22">
      <c r="A1137" t="s">
        <v>77</v>
      </c>
      <c r="B1137">
        <v>37</v>
      </c>
      <c r="C1137">
        <v>1115</v>
      </c>
      <c r="D1137" t="s">
        <v>14</v>
      </c>
      <c r="E1137" t="s">
        <v>1497</v>
      </c>
      <c r="F1137" t="s">
        <v>1496</v>
      </c>
      <c r="G1137">
        <v>51</v>
      </c>
      <c r="H1137">
        <v>2</v>
      </c>
      <c r="I1137">
        <v>2</v>
      </c>
      <c r="J1137" t="s">
        <v>1480</v>
      </c>
      <c r="K1137" t="s">
        <v>1481</v>
      </c>
      <c r="L1137">
        <v>3</v>
      </c>
      <c r="M1137" t="s">
        <v>16</v>
      </c>
      <c r="N1137">
        <v>1</v>
      </c>
      <c r="O1137" t="s">
        <v>13</v>
      </c>
      <c r="P1137">
        <v>7</v>
      </c>
      <c r="Q1137" s="4">
        <v>45685</v>
      </c>
      <c r="R1137" s="4"/>
      <c r="S1137" t="str">
        <f>TEXT(Table1[[#This Row],[Hiring Date]],"mmmm")</f>
        <v>January</v>
      </c>
      <c r="T1137" s="1">
        <f>COUNTIF(S:S,Table1[[#This Row],[Months List]])</f>
        <v>0</v>
      </c>
      <c r="U1137" t="str">
        <f>TEXT(Table1[[#This Row],[Hiring Date]],"dddd")</f>
        <v>Tuesday</v>
      </c>
      <c r="V1137" s="1" t="str">
        <f>TEXT(Table1[[#This Row],[Hiring Date]],"yyyy")</f>
        <v>2025</v>
      </c>
    </row>
    <row r="1138" spans="1:22">
      <c r="A1138" t="s">
        <v>707</v>
      </c>
      <c r="B1138">
        <v>20</v>
      </c>
      <c r="C1138">
        <v>129</v>
      </c>
      <c r="D1138" t="s">
        <v>14</v>
      </c>
      <c r="E1138" t="s">
        <v>1501</v>
      </c>
      <c r="F1138" t="s">
        <v>1496</v>
      </c>
      <c r="G1138">
        <v>84</v>
      </c>
      <c r="H1138">
        <v>3</v>
      </c>
      <c r="I1138">
        <v>1</v>
      </c>
      <c r="J1138" t="s">
        <v>1484</v>
      </c>
      <c r="K1138" t="s">
        <v>1485</v>
      </c>
      <c r="L1138">
        <v>1</v>
      </c>
      <c r="M1138" t="s">
        <v>12</v>
      </c>
      <c r="N1138">
        <v>1</v>
      </c>
      <c r="O1138" t="s">
        <v>13</v>
      </c>
      <c r="P1138">
        <v>1</v>
      </c>
      <c r="Q1138" s="4">
        <v>45933</v>
      </c>
      <c r="R1138" s="4"/>
      <c r="S1138" t="str">
        <f>TEXT(Table1[[#This Row],[Hiring Date]],"mmmm")</f>
        <v>October</v>
      </c>
      <c r="T1138" s="1">
        <f>COUNTIF(S:S,Table1[[#This Row],[Months List]])</f>
        <v>0</v>
      </c>
      <c r="U1138" t="str">
        <f>TEXT(Table1[[#This Row],[Hiring Date]],"dddd")</f>
        <v>Friday</v>
      </c>
      <c r="V1138" s="1" t="str">
        <f>TEXT(Table1[[#This Row],[Hiring Date]],"yyyy")</f>
        <v>2025</v>
      </c>
    </row>
    <row r="1139" spans="1:22">
      <c r="A1139" t="s">
        <v>708</v>
      </c>
      <c r="B1139">
        <v>31</v>
      </c>
      <c r="C1139">
        <v>616</v>
      </c>
      <c r="D1139" t="s">
        <v>14</v>
      </c>
      <c r="E1139" t="s">
        <v>1495</v>
      </c>
      <c r="F1139" t="s">
        <v>1499</v>
      </c>
      <c r="G1139">
        <v>41</v>
      </c>
      <c r="H1139">
        <v>3</v>
      </c>
      <c r="I1139">
        <v>2</v>
      </c>
      <c r="J1139" t="s">
        <v>1478</v>
      </c>
      <c r="K1139" t="s">
        <v>1479</v>
      </c>
      <c r="L1139">
        <v>4</v>
      </c>
      <c r="M1139" t="s">
        <v>15</v>
      </c>
      <c r="N1139">
        <v>0</v>
      </c>
      <c r="O1139" t="s">
        <v>10</v>
      </c>
      <c r="P1139">
        <v>10</v>
      </c>
      <c r="Q1139" s="4">
        <v>45779</v>
      </c>
      <c r="R1139" s="4"/>
      <c r="S1139" t="str">
        <f>TEXT(Table1[[#This Row],[Hiring Date]],"mmmm")</f>
        <v>May</v>
      </c>
      <c r="T1139" s="1">
        <f>COUNTIF(S:S,Table1[[#This Row],[Months List]])</f>
        <v>0</v>
      </c>
      <c r="U1139" t="str">
        <f>TEXT(Table1[[#This Row],[Hiring Date]],"dddd")</f>
        <v>Friday</v>
      </c>
      <c r="V1139" s="1" t="str">
        <f>TEXT(Table1[[#This Row],[Hiring Date]],"yyyy")</f>
        <v>2025</v>
      </c>
    </row>
    <row r="1140" spans="1:22">
      <c r="A1140" t="s">
        <v>709</v>
      </c>
      <c r="B1140">
        <v>40</v>
      </c>
      <c r="C1140">
        <v>1469</v>
      </c>
      <c r="D1140" t="s">
        <v>14</v>
      </c>
      <c r="E1140" t="s">
        <v>1495</v>
      </c>
      <c r="F1140" t="s">
        <v>1496</v>
      </c>
      <c r="G1140">
        <v>35</v>
      </c>
      <c r="H1140">
        <v>3</v>
      </c>
      <c r="I1140">
        <v>1</v>
      </c>
      <c r="J1140" t="s">
        <v>1476</v>
      </c>
      <c r="K1140" t="s">
        <v>1477</v>
      </c>
      <c r="L1140">
        <v>2</v>
      </c>
      <c r="M1140" t="s">
        <v>16</v>
      </c>
      <c r="N1140">
        <v>8</v>
      </c>
      <c r="O1140" t="s">
        <v>10</v>
      </c>
      <c r="P1140">
        <v>3</v>
      </c>
      <c r="Q1140" s="4">
        <v>45876</v>
      </c>
      <c r="R1140" s="4"/>
      <c r="S1140" t="str">
        <f>TEXT(Table1[[#This Row],[Hiring Date]],"mmmm")</f>
        <v>August</v>
      </c>
      <c r="T1140" s="1">
        <f>COUNTIF(S:S,Table1[[#This Row],[Months List]])</f>
        <v>0</v>
      </c>
      <c r="U1140" t="str">
        <f>TEXT(Table1[[#This Row],[Hiring Date]],"dddd")</f>
        <v>Thursday</v>
      </c>
      <c r="V1140" s="1" t="str">
        <f>TEXT(Table1[[#This Row],[Hiring Date]],"yyyy")</f>
        <v>2025</v>
      </c>
    </row>
    <row r="1141" spans="1:22">
      <c r="A1141" t="s">
        <v>710</v>
      </c>
      <c r="B1141">
        <v>32</v>
      </c>
      <c r="C1141">
        <v>498</v>
      </c>
      <c r="D1141" t="s">
        <v>14</v>
      </c>
      <c r="E1141" t="s">
        <v>1495</v>
      </c>
      <c r="F1141" t="s">
        <v>1499</v>
      </c>
      <c r="G1141">
        <v>93</v>
      </c>
      <c r="H1141">
        <v>3</v>
      </c>
      <c r="I1141">
        <v>2</v>
      </c>
      <c r="J1141" t="s">
        <v>1480</v>
      </c>
      <c r="K1141" t="s">
        <v>1481</v>
      </c>
      <c r="L1141">
        <v>1</v>
      </c>
      <c r="M1141" t="s">
        <v>15</v>
      </c>
      <c r="N1141">
        <v>1</v>
      </c>
      <c r="O1141" t="s">
        <v>13</v>
      </c>
      <c r="P1141">
        <v>8</v>
      </c>
      <c r="Q1141" s="4">
        <v>45859</v>
      </c>
      <c r="R1141" s="4"/>
      <c r="S1141" t="str">
        <f>TEXT(Table1[[#This Row],[Hiring Date]],"mmmm")</f>
        <v>July</v>
      </c>
      <c r="T1141" s="1">
        <f>COUNTIF(S:S,Table1[[#This Row],[Months List]])</f>
        <v>0</v>
      </c>
      <c r="U1141" t="str">
        <f>TEXT(Table1[[#This Row],[Hiring Date]],"dddd")</f>
        <v>Monday</v>
      </c>
      <c r="V1141" s="1" t="str">
        <f>TEXT(Table1[[#This Row],[Hiring Date]],"yyyy")</f>
        <v>2025</v>
      </c>
    </row>
    <row r="1142" spans="1:22">
      <c r="A1142" t="s">
        <v>711</v>
      </c>
      <c r="B1142">
        <v>36</v>
      </c>
      <c r="C1142">
        <v>530</v>
      </c>
      <c r="D1142" t="s">
        <v>11</v>
      </c>
      <c r="E1142" t="s">
        <v>1497</v>
      </c>
      <c r="F1142" t="s">
        <v>1496</v>
      </c>
      <c r="G1142">
        <v>51</v>
      </c>
      <c r="H1142">
        <v>2</v>
      </c>
      <c r="I1142">
        <v>3</v>
      </c>
      <c r="J1142" t="s">
        <v>1474</v>
      </c>
      <c r="K1142" t="s">
        <v>1475</v>
      </c>
      <c r="L1142">
        <v>4</v>
      </c>
      <c r="M1142" t="s">
        <v>15</v>
      </c>
      <c r="N1142">
        <v>1</v>
      </c>
      <c r="O1142" t="s">
        <v>10</v>
      </c>
      <c r="P1142">
        <v>16</v>
      </c>
      <c r="Q1142" s="4">
        <v>45867</v>
      </c>
      <c r="R1142" s="4"/>
      <c r="S1142" t="str">
        <f>TEXT(Table1[[#This Row],[Hiring Date]],"mmmm")</f>
        <v>July</v>
      </c>
      <c r="T1142" s="1">
        <f>COUNTIF(S:S,Table1[[#This Row],[Months List]])</f>
        <v>0</v>
      </c>
      <c r="U1142" t="str">
        <f>TEXT(Table1[[#This Row],[Hiring Date]],"dddd")</f>
        <v>Tuesday</v>
      </c>
      <c r="V1142" s="1" t="str">
        <f>TEXT(Table1[[#This Row],[Hiring Date]],"yyyy")</f>
        <v>2025</v>
      </c>
    </row>
    <row r="1143" spans="1:22">
      <c r="A1143" t="s">
        <v>712</v>
      </c>
      <c r="B1143">
        <v>33</v>
      </c>
      <c r="C1143">
        <v>1069</v>
      </c>
      <c r="D1143" t="s">
        <v>14</v>
      </c>
      <c r="E1143" t="s">
        <v>1497</v>
      </c>
      <c r="F1143" t="s">
        <v>1499</v>
      </c>
      <c r="G1143">
        <v>42</v>
      </c>
      <c r="H1143">
        <v>2</v>
      </c>
      <c r="I1143">
        <v>2</v>
      </c>
      <c r="J1143" t="s">
        <v>1478</v>
      </c>
      <c r="K1143" t="s">
        <v>1479</v>
      </c>
      <c r="L1143">
        <v>4</v>
      </c>
      <c r="M1143" t="s">
        <v>12</v>
      </c>
      <c r="N1143">
        <v>0</v>
      </c>
      <c r="O1143" t="s">
        <v>13</v>
      </c>
      <c r="P1143">
        <v>6</v>
      </c>
      <c r="Q1143" s="4">
        <v>45736</v>
      </c>
      <c r="R1143" s="4"/>
      <c r="S1143" t="str">
        <f>TEXT(Table1[[#This Row],[Hiring Date]],"mmmm")</f>
        <v>March</v>
      </c>
      <c r="T1143" s="1">
        <f>COUNTIF(S:S,Table1[[#This Row],[Months List]])</f>
        <v>0</v>
      </c>
      <c r="U1143" t="str">
        <f>TEXT(Table1[[#This Row],[Hiring Date]],"dddd")</f>
        <v>Thursday</v>
      </c>
      <c r="V1143" s="1" t="str">
        <f>TEXT(Table1[[#This Row],[Hiring Date]],"yyyy")</f>
        <v>2025</v>
      </c>
    </row>
    <row r="1144" spans="1:22">
      <c r="A1144" t="s">
        <v>713</v>
      </c>
      <c r="B1144">
        <v>37</v>
      </c>
      <c r="C1144">
        <v>625</v>
      </c>
      <c r="D1144" t="s">
        <v>11</v>
      </c>
      <c r="E1144" t="s">
        <v>1497</v>
      </c>
      <c r="F1144" t="s">
        <v>1496</v>
      </c>
      <c r="G1144">
        <v>46</v>
      </c>
      <c r="H1144">
        <v>2</v>
      </c>
      <c r="I1144">
        <v>3</v>
      </c>
      <c r="J1144" t="s">
        <v>1474</v>
      </c>
      <c r="K1144" t="s">
        <v>1475</v>
      </c>
      <c r="L1144">
        <v>3</v>
      </c>
      <c r="M1144" t="s">
        <v>15</v>
      </c>
      <c r="N1144">
        <v>5</v>
      </c>
      <c r="O1144" t="s">
        <v>13</v>
      </c>
      <c r="P1144">
        <v>17</v>
      </c>
      <c r="Q1144" s="4">
        <v>45739</v>
      </c>
      <c r="R1144" s="4"/>
      <c r="S1144" t="str">
        <f>TEXT(Table1[[#This Row],[Hiring Date]],"mmmm")</f>
        <v>March</v>
      </c>
      <c r="T1144" s="1">
        <f>COUNTIF(S:S,Table1[[#This Row],[Months List]])</f>
        <v>0</v>
      </c>
      <c r="U1144" t="str">
        <f>TEXT(Table1[[#This Row],[Hiring Date]],"dddd")</f>
        <v>Sunday</v>
      </c>
      <c r="V1144" s="1" t="str">
        <f>TEXT(Table1[[#This Row],[Hiring Date]],"yyyy")</f>
        <v>2025</v>
      </c>
    </row>
    <row r="1145" spans="1:22">
      <c r="A1145" t="s">
        <v>714</v>
      </c>
      <c r="B1145">
        <v>45</v>
      </c>
      <c r="C1145">
        <v>805</v>
      </c>
      <c r="D1145" t="s">
        <v>14</v>
      </c>
      <c r="E1145" t="s">
        <v>1497</v>
      </c>
      <c r="F1145" t="s">
        <v>1496</v>
      </c>
      <c r="G1145">
        <v>57</v>
      </c>
      <c r="H1145">
        <v>3</v>
      </c>
      <c r="I1145">
        <v>2</v>
      </c>
      <c r="J1145" t="s">
        <v>1484</v>
      </c>
      <c r="K1145" t="s">
        <v>1485</v>
      </c>
      <c r="L1145">
        <v>2</v>
      </c>
      <c r="M1145" t="s">
        <v>15</v>
      </c>
      <c r="N1145">
        <v>1</v>
      </c>
      <c r="O1145" t="s">
        <v>13</v>
      </c>
      <c r="P1145">
        <v>9</v>
      </c>
      <c r="Q1145" s="4">
        <v>45884</v>
      </c>
      <c r="R1145" s="4"/>
      <c r="S1145" t="str">
        <f>TEXT(Table1[[#This Row],[Hiring Date]],"mmmm")</f>
        <v>August</v>
      </c>
      <c r="T1145" s="1">
        <f>COUNTIF(S:S,Table1[[#This Row],[Months List]])</f>
        <v>0</v>
      </c>
      <c r="U1145" t="str">
        <f>TEXT(Table1[[#This Row],[Hiring Date]],"dddd")</f>
        <v>Friday</v>
      </c>
      <c r="V1145" s="1" t="str">
        <f>TEXT(Table1[[#This Row],[Hiring Date]],"yyyy")</f>
        <v>2025</v>
      </c>
    </row>
    <row r="1146" spans="1:22">
      <c r="A1146" t="s">
        <v>715</v>
      </c>
      <c r="B1146">
        <v>29</v>
      </c>
      <c r="C1146">
        <v>1404</v>
      </c>
      <c r="D1146" t="s">
        <v>11</v>
      </c>
      <c r="E1146" t="s">
        <v>1501</v>
      </c>
      <c r="F1146" t="s">
        <v>1499</v>
      </c>
      <c r="G1146">
        <v>84</v>
      </c>
      <c r="H1146">
        <v>3</v>
      </c>
      <c r="I1146">
        <v>1</v>
      </c>
      <c r="J1146" t="s">
        <v>1489</v>
      </c>
      <c r="K1146" t="s">
        <v>1490</v>
      </c>
      <c r="L1146">
        <v>4</v>
      </c>
      <c r="M1146" t="s">
        <v>15</v>
      </c>
      <c r="N1146">
        <v>1</v>
      </c>
      <c r="O1146" t="s">
        <v>13</v>
      </c>
      <c r="P1146">
        <v>3</v>
      </c>
      <c r="Q1146" s="4">
        <v>45852</v>
      </c>
      <c r="R1146" s="4"/>
      <c r="S1146" t="str">
        <f>TEXT(Table1[[#This Row],[Hiring Date]],"mmmm")</f>
        <v>July</v>
      </c>
      <c r="T1146" s="1">
        <f>COUNTIF(S:S,Table1[[#This Row],[Months List]])</f>
        <v>0</v>
      </c>
      <c r="U1146" t="str">
        <f>TEXT(Table1[[#This Row],[Hiring Date]],"dddd")</f>
        <v>Monday</v>
      </c>
      <c r="V1146" s="1" t="str">
        <f>TEXT(Table1[[#This Row],[Hiring Date]],"yyyy")</f>
        <v>2025</v>
      </c>
    </row>
    <row r="1147" spans="1:22">
      <c r="A1147" t="s">
        <v>716</v>
      </c>
      <c r="B1147">
        <v>35</v>
      </c>
      <c r="C1147">
        <v>1219</v>
      </c>
      <c r="D1147" t="s">
        <v>11</v>
      </c>
      <c r="E1147" t="s">
        <v>1495</v>
      </c>
      <c r="F1147" t="s">
        <v>1499</v>
      </c>
      <c r="G1147">
        <v>86</v>
      </c>
      <c r="H1147">
        <v>3</v>
      </c>
      <c r="I1147">
        <v>2</v>
      </c>
      <c r="J1147" t="s">
        <v>1474</v>
      </c>
      <c r="K1147" t="s">
        <v>1475</v>
      </c>
      <c r="L1147">
        <v>3</v>
      </c>
      <c r="M1147" t="s">
        <v>15</v>
      </c>
      <c r="N1147">
        <v>1</v>
      </c>
      <c r="O1147" t="s">
        <v>13</v>
      </c>
      <c r="P1147">
        <v>5</v>
      </c>
      <c r="Q1147" s="4">
        <v>45881</v>
      </c>
      <c r="R1147" s="4"/>
      <c r="S1147" t="str">
        <f>TEXT(Table1[[#This Row],[Hiring Date]],"mmmm")</f>
        <v>August</v>
      </c>
      <c r="T1147" s="1">
        <f>COUNTIF(S:S,Table1[[#This Row],[Months List]])</f>
        <v>0</v>
      </c>
      <c r="U1147" t="str">
        <f>TEXT(Table1[[#This Row],[Hiring Date]],"dddd")</f>
        <v>Tuesday</v>
      </c>
      <c r="V1147" s="1" t="str">
        <f>TEXT(Table1[[#This Row],[Hiring Date]],"yyyy")</f>
        <v>2025</v>
      </c>
    </row>
    <row r="1148" spans="1:22">
      <c r="A1148" t="s">
        <v>78</v>
      </c>
      <c r="B1148">
        <v>32</v>
      </c>
      <c r="C1148">
        <v>427</v>
      </c>
      <c r="D1148" t="s">
        <v>14</v>
      </c>
      <c r="E1148" t="s">
        <v>1495</v>
      </c>
      <c r="F1148" t="s">
        <v>1496</v>
      </c>
      <c r="G1148">
        <v>33</v>
      </c>
      <c r="H1148">
        <v>3</v>
      </c>
      <c r="I1148">
        <v>2</v>
      </c>
      <c r="J1148" t="s">
        <v>1480</v>
      </c>
      <c r="K1148" t="s">
        <v>1481</v>
      </c>
      <c r="L1148">
        <v>4</v>
      </c>
      <c r="M1148" t="s">
        <v>15</v>
      </c>
      <c r="N1148">
        <v>1</v>
      </c>
      <c r="O1148" t="s">
        <v>10</v>
      </c>
      <c r="P1148">
        <v>9</v>
      </c>
      <c r="Q1148" s="4">
        <v>45893</v>
      </c>
      <c r="R1148" s="4"/>
      <c r="S1148" t="str">
        <f>TEXT(Table1[[#This Row],[Hiring Date]],"mmmm")</f>
        <v>August</v>
      </c>
      <c r="T1148" s="1">
        <f>COUNTIF(S:S,Table1[[#This Row],[Months List]])</f>
        <v>0</v>
      </c>
      <c r="U1148" t="str">
        <f>TEXT(Table1[[#This Row],[Hiring Date]],"dddd")</f>
        <v>Sunday</v>
      </c>
      <c r="V1148" s="1" t="str">
        <f>TEXT(Table1[[#This Row],[Hiring Date]],"yyyy")</f>
        <v>2025</v>
      </c>
    </row>
    <row r="1149" spans="1:22">
      <c r="A1149" t="s">
        <v>717</v>
      </c>
      <c r="B1149">
        <v>52</v>
      </c>
      <c r="C1149">
        <v>1053</v>
      </c>
      <c r="D1149" t="s">
        <v>14</v>
      </c>
      <c r="E1149" t="s">
        <v>1497</v>
      </c>
      <c r="F1149" t="s">
        <v>1496</v>
      </c>
      <c r="G1149">
        <v>70</v>
      </c>
      <c r="H1149">
        <v>3</v>
      </c>
      <c r="I1149">
        <v>4</v>
      </c>
      <c r="J1149" t="s">
        <v>1482</v>
      </c>
      <c r="K1149" t="s">
        <v>1483</v>
      </c>
      <c r="L1149">
        <v>4</v>
      </c>
      <c r="M1149" t="s">
        <v>15</v>
      </c>
      <c r="N1149">
        <v>2</v>
      </c>
      <c r="O1149" t="s">
        <v>13</v>
      </c>
      <c r="P1149">
        <v>26</v>
      </c>
      <c r="Q1149" s="4">
        <v>45966</v>
      </c>
      <c r="R1149" s="4"/>
      <c r="S1149" t="str">
        <f>TEXT(Table1[[#This Row],[Hiring Date]],"mmmm")</f>
        <v>November</v>
      </c>
      <c r="T1149" s="1">
        <f>COUNTIF(S:S,Table1[[#This Row],[Months List]])</f>
        <v>0</v>
      </c>
      <c r="U1149" t="str">
        <f>TEXT(Table1[[#This Row],[Hiring Date]],"dddd")</f>
        <v>Wednesday</v>
      </c>
      <c r="V1149" s="1" t="str">
        <f>TEXT(Table1[[#This Row],[Hiring Date]],"yyyy")</f>
        <v>2025</v>
      </c>
    </row>
    <row r="1150" spans="1:22">
      <c r="A1150" t="s">
        <v>718</v>
      </c>
      <c r="B1150">
        <v>58</v>
      </c>
      <c r="C1150">
        <v>289</v>
      </c>
      <c r="D1150" t="s">
        <v>14</v>
      </c>
      <c r="E1150" t="s">
        <v>1501</v>
      </c>
      <c r="F1150" t="s">
        <v>1496</v>
      </c>
      <c r="G1150">
        <v>51</v>
      </c>
      <c r="H1150">
        <v>3</v>
      </c>
      <c r="I1150">
        <v>1</v>
      </c>
      <c r="J1150" t="s">
        <v>1476</v>
      </c>
      <c r="K1150" t="s">
        <v>1477</v>
      </c>
      <c r="L1150">
        <v>3</v>
      </c>
      <c r="M1150" t="s">
        <v>12</v>
      </c>
      <c r="N1150">
        <v>4</v>
      </c>
      <c r="O1150" t="s">
        <v>13</v>
      </c>
      <c r="P1150">
        <v>7</v>
      </c>
      <c r="Q1150" s="4">
        <v>45980</v>
      </c>
      <c r="R1150" s="4"/>
      <c r="S1150" t="str">
        <f>TEXT(Table1[[#This Row],[Hiring Date]],"mmmm")</f>
        <v>November</v>
      </c>
      <c r="T1150" s="1">
        <f>COUNTIF(S:S,Table1[[#This Row],[Months List]])</f>
        <v>0</v>
      </c>
      <c r="U1150" t="str">
        <f>TEXT(Table1[[#This Row],[Hiring Date]],"dddd")</f>
        <v>Wednesday</v>
      </c>
      <c r="V1150" s="1" t="str">
        <f>TEXT(Table1[[#This Row],[Hiring Date]],"yyyy")</f>
        <v>2025</v>
      </c>
    </row>
    <row r="1151" spans="1:22">
      <c r="A1151" t="s">
        <v>719</v>
      </c>
      <c r="B1151">
        <v>53</v>
      </c>
      <c r="C1151">
        <v>1376</v>
      </c>
      <c r="D1151" t="s">
        <v>11</v>
      </c>
      <c r="E1151" t="s">
        <v>1495</v>
      </c>
      <c r="F1151" t="s">
        <v>1496</v>
      </c>
      <c r="G1151">
        <v>45</v>
      </c>
      <c r="H1151">
        <v>3</v>
      </c>
      <c r="I1151">
        <v>4</v>
      </c>
      <c r="J1151" t="s">
        <v>1482</v>
      </c>
      <c r="K1151" t="s">
        <v>1483</v>
      </c>
      <c r="L1151">
        <v>3</v>
      </c>
      <c r="M1151" t="s">
        <v>16</v>
      </c>
      <c r="N1151">
        <v>6</v>
      </c>
      <c r="O1151" t="s">
        <v>13</v>
      </c>
      <c r="P1151">
        <v>22</v>
      </c>
      <c r="Q1151" s="4">
        <v>45947</v>
      </c>
      <c r="R1151" s="4"/>
      <c r="S1151" t="str">
        <f>TEXT(Table1[[#This Row],[Hiring Date]],"mmmm")</f>
        <v>October</v>
      </c>
      <c r="T1151" s="1">
        <f>COUNTIF(S:S,Table1[[#This Row],[Months List]])</f>
        <v>0</v>
      </c>
      <c r="U1151" t="str">
        <f>TEXT(Table1[[#This Row],[Hiring Date]],"dddd")</f>
        <v>Friday</v>
      </c>
      <c r="V1151" s="1" t="str">
        <f>TEXT(Table1[[#This Row],[Hiring Date]],"yyyy")</f>
        <v>2025</v>
      </c>
    </row>
    <row r="1152" spans="1:22">
      <c r="A1152" t="s">
        <v>720</v>
      </c>
      <c r="B1152">
        <v>30</v>
      </c>
      <c r="C1152">
        <v>231</v>
      </c>
      <c r="D1152" t="s">
        <v>11</v>
      </c>
      <c r="E1152" t="s">
        <v>1500</v>
      </c>
      <c r="F1152" t="s">
        <v>1496</v>
      </c>
      <c r="G1152">
        <v>62</v>
      </c>
      <c r="H1152">
        <v>3</v>
      </c>
      <c r="I1152">
        <v>3</v>
      </c>
      <c r="J1152" t="s">
        <v>1474</v>
      </c>
      <c r="K1152" t="s">
        <v>1475</v>
      </c>
      <c r="L1152">
        <v>3</v>
      </c>
      <c r="M1152" t="s">
        <v>16</v>
      </c>
      <c r="N1152">
        <v>5</v>
      </c>
      <c r="O1152" t="s">
        <v>13</v>
      </c>
      <c r="P1152">
        <v>10</v>
      </c>
      <c r="Q1152" s="4">
        <v>45923</v>
      </c>
      <c r="R1152" s="4"/>
      <c r="S1152" t="str">
        <f>TEXT(Table1[[#This Row],[Hiring Date]],"mmmm")</f>
        <v>September</v>
      </c>
      <c r="T1152" s="1">
        <f>COUNTIF(S:S,Table1[[#This Row],[Months List]])</f>
        <v>0</v>
      </c>
      <c r="U1152" t="str">
        <f>TEXT(Table1[[#This Row],[Hiring Date]],"dddd")</f>
        <v>Tuesday</v>
      </c>
      <c r="V1152" s="1" t="str">
        <f>TEXT(Table1[[#This Row],[Hiring Date]],"yyyy")</f>
        <v>2025</v>
      </c>
    </row>
    <row r="1153" spans="1:22">
      <c r="A1153" t="s">
        <v>721</v>
      </c>
      <c r="B1153">
        <v>38</v>
      </c>
      <c r="C1153">
        <v>152</v>
      </c>
      <c r="D1153" t="s">
        <v>11</v>
      </c>
      <c r="E1153" t="s">
        <v>1501</v>
      </c>
      <c r="F1153" t="s">
        <v>1499</v>
      </c>
      <c r="G1153">
        <v>85</v>
      </c>
      <c r="H1153">
        <v>3</v>
      </c>
      <c r="I1153">
        <v>2</v>
      </c>
      <c r="J1153" t="s">
        <v>1474</v>
      </c>
      <c r="K1153" t="s">
        <v>1475</v>
      </c>
      <c r="L1153">
        <v>4</v>
      </c>
      <c r="M1153" t="s">
        <v>12</v>
      </c>
      <c r="N1153">
        <v>1</v>
      </c>
      <c r="O1153" t="s">
        <v>10</v>
      </c>
      <c r="P1153">
        <v>6</v>
      </c>
      <c r="Q1153" s="4">
        <v>45650</v>
      </c>
      <c r="R1153" s="4"/>
      <c r="S1153" t="str">
        <f>TEXT(Table1[[#This Row],[Hiring Date]],"mmmm")</f>
        <v>December</v>
      </c>
      <c r="T1153" s="1">
        <f>COUNTIF(S:S,Table1[[#This Row],[Months List]])</f>
        <v>0</v>
      </c>
      <c r="U1153" t="str">
        <f>TEXT(Table1[[#This Row],[Hiring Date]],"dddd")</f>
        <v>Tuesday</v>
      </c>
      <c r="V1153" s="1" t="str">
        <f>TEXT(Table1[[#This Row],[Hiring Date]],"yyyy")</f>
        <v>2024</v>
      </c>
    </row>
    <row r="1154" spans="1:22">
      <c r="A1154" t="s">
        <v>722</v>
      </c>
      <c r="B1154">
        <v>35</v>
      </c>
      <c r="C1154">
        <v>882</v>
      </c>
      <c r="D1154" t="s">
        <v>11</v>
      </c>
      <c r="E1154" t="s">
        <v>1497</v>
      </c>
      <c r="F1154" t="s">
        <v>1496</v>
      </c>
      <c r="G1154">
        <v>92</v>
      </c>
      <c r="H1154">
        <v>3</v>
      </c>
      <c r="I1154">
        <v>3</v>
      </c>
      <c r="J1154" t="s">
        <v>1474</v>
      </c>
      <c r="K1154" t="s">
        <v>1475</v>
      </c>
      <c r="L1154">
        <v>4</v>
      </c>
      <c r="M1154" t="s">
        <v>16</v>
      </c>
      <c r="N1154">
        <v>6</v>
      </c>
      <c r="O1154" t="s">
        <v>13</v>
      </c>
      <c r="P1154">
        <v>12</v>
      </c>
      <c r="Q1154" s="4">
        <v>45949</v>
      </c>
      <c r="R1154" s="4"/>
      <c r="S1154" t="str">
        <f>TEXT(Table1[[#This Row],[Hiring Date]],"mmmm")</f>
        <v>October</v>
      </c>
      <c r="T1154" s="1">
        <f>COUNTIF(S:S,Table1[[#This Row],[Months List]])</f>
        <v>0</v>
      </c>
      <c r="U1154" t="str">
        <f>TEXT(Table1[[#This Row],[Hiring Date]],"dddd")</f>
        <v>Sunday</v>
      </c>
      <c r="V1154" s="1" t="str">
        <f>TEXT(Table1[[#This Row],[Hiring Date]],"yyyy")</f>
        <v>2025</v>
      </c>
    </row>
    <row r="1155" spans="1:22">
      <c r="A1155" t="s">
        <v>723</v>
      </c>
      <c r="B1155">
        <v>39</v>
      </c>
      <c r="C1155">
        <v>903</v>
      </c>
      <c r="D1155" t="s">
        <v>11</v>
      </c>
      <c r="E1155" t="s">
        <v>1497</v>
      </c>
      <c r="F1155" t="s">
        <v>1496</v>
      </c>
      <c r="G1155">
        <v>41</v>
      </c>
      <c r="H1155">
        <v>4</v>
      </c>
      <c r="I1155">
        <v>3</v>
      </c>
      <c r="J1155" t="s">
        <v>1474</v>
      </c>
      <c r="K1155" t="s">
        <v>1475</v>
      </c>
      <c r="L1155">
        <v>3</v>
      </c>
      <c r="M1155" t="s">
        <v>12</v>
      </c>
      <c r="N1155">
        <v>0</v>
      </c>
      <c r="O1155" t="s">
        <v>13</v>
      </c>
      <c r="P1155">
        <v>9</v>
      </c>
      <c r="Q1155" s="4">
        <v>45754</v>
      </c>
      <c r="R1155" s="4"/>
      <c r="S1155" t="str">
        <f>TEXT(Table1[[#This Row],[Hiring Date]],"mmmm")</f>
        <v>April</v>
      </c>
      <c r="T1155" s="1">
        <f>COUNTIF(S:S,Table1[[#This Row],[Months List]])</f>
        <v>0</v>
      </c>
      <c r="U1155" t="str">
        <f>TEXT(Table1[[#This Row],[Hiring Date]],"dddd")</f>
        <v>Monday</v>
      </c>
      <c r="V1155" s="1" t="str">
        <f>TEXT(Table1[[#This Row],[Hiring Date]],"yyyy")</f>
        <v>2025</v>
      </c>
    </row>
    <row r="1156" spans="1:22">
      <c r="A1156" t="s">
        <v>724</v>
      </c>
      <c r="B1156">
        <v>40</v>
      </c>
      <c r="C1156">
        <v>1479</v>
      </c>
      <c r="D1156" t="s">
        <v>11</v>
      </c>
      <c r="E1156" t="s">
        <v>1497</v>
      </c>
      <c r="F1156" t="s">
        <v>1499</v>
      </c>
      <c r="G1156">
        <v>100</v>
      </c>
      <c r="H1156">
        <v>4</v>
      </c>
      <c r="I1156">
        <v>4</v>
      </c>
      <c r="J1156" t="s">
        <v>1474</v>
      </c>
      <c r="K1156" t="s">
        <v>1475</v>
      </c>
      <c r="L1156">
        <v>2</v>
      </c>
      <c r="M1156" t="s">
        <v>12</v>
      </c>
      <c r="N1156">
        <v>4</v>
      </c>
      <c r="O1156" t="s">
        <v>10</v>
      </c>
      <c r="P1156">
        <v>22</v>
      </c>
      <c r="Q1156" s="4">
        <v>45942</v>
      </c>
      <c r="R1156" s="4"/>
      <c r="S1156" t="str">
        <f>TEXT(Table1[[#This Row],[Hiring Date]],"mmmm")</f>
        <v>October</v>
      </c>
      <c r="T1156" s="1">
        <f>COUNTIF(S:S,Table1[[#This Row],[Months List]])</f>
        <v>0</v>
      </c>
      <c r="U1156" t="str">
        <f>TEXT(Table1[[#This Row],[Hiring Date]],"dddd")</f>
        <v>Sunday</v>
      </c>
      <c r="V1156" s="1" t="str">
        <f>TEXT(Table1[[#This Row],[Hiring Date]],"yyyy")</f>
        <v>2025</v>
      </c>
    </row>
    <row r="1157" spans="1:22">
      <c r="A1157" t="s">
        <v>725</v>
      </c>
      <c r="B1157">
        <v>47</v>
      </c>
      <c r="C1157">
        <v>1379</v>
      </c>
      <c r="D1157" t="s">
        <v>14</v>
      </c>
      <c r="E1157" t="s">
        <v>1495</v>
      </c>
      <c r="F1157" t="s">
        <v>1496</v>
      </c>
      <c r="G1157">
        <v>64</v>
      </c>
      <c r="H1157">
        <v>4</v>
      </c>
      <c r="I1157">
        <v>2</v>
      </c>
      <c r="J1157" t="s">
        <v>1480</v>
      </c>
      <c r="K1157" t="s">
        <v>1481</v>
      </c>
      <c r="L1157">
        <v>3</v>
      </c>
      <c r="M1157" t="s">
        <v>16</v>
      </c>
      <c r="N1157">
        <v>1</v>
      </c>
      <c r="O1157" t="s">
        <v>10</v>
      </c>
      <c r="P1157">
        <v>20</v>
      </c>
      <c r="Q1157" s="4">
        <v>45663</v>
      </c>
      <c r="R1157" s="4"/>
      <c r="S1157" t="str">
        <f>TEXT(Table1[[#This Row],[Hiring Date]],"mmmm")</f>
        <v>January</v>
      </c>
      <c r="T1157" s="1">
        <f>COUNTIF(S:S,Table1[[#This Row],[Months List]])</f>
        <v>0</v>
      </c>
      <c r="U1157" t="str">
        <f>TEXT(Table1[[#This Row],[Hiring Date]],"dddd")</f>
        <v>Monday</v>
      </c>
      <c r="V1157" s="1" t="str">
        <f>TEXT(Table1[[#This Row],[Hiring Date]],"yyyy")</f>
        <v>2025</v>
      </c>
    </row>
    <row r="1158" spans="1:22">
      <c r="A1158" t="s">
        <v>726</v>
      </c>
      <c r="B1158">
        <v>36</v>
      </c>
      <c r="C1158">
        <v>1229</v>
      </c>
      <c r="D1158" t="s">
        <v>11</v>
      </c>
      <c r="E1158" t="s">
        <v>1501</v>
      </c>
      <c r="F1158" t="s">
        <v>1496</v>
      </c>
      <c r="G1158">
        <v>84</v>
      </c>
      <c r="H1158">
        <v>3</v>
      </c>
      <c r="I1158">
        <v>2</v>
      </c>
      <c r="J1158" t="s">
        <v>1474</v>
      </c>
      <c r="K1158" t="s">
        <v>1475</v>
      </c>
      <c r="L1158">
        <v>4</v>
      </c>
      <c r="M1158" t="s">
        <v>16</v>
      </c>
      <c r="N1158">
        <v>4</v>
      </c>
      <c r="O1158" t="s">
        <v>13</v>
      </c>
      <c r="P1158">
        <v>12</v>
      </c>
      <c r="Q1158" s="4">
        <v>45741</v>
      </c>
      <c r="R1158" s="4"/>
      <c r="S1158" t="str">
        <f>TEXT(Table1[[#This Row],[Hiring Date]],"mmmm")</f>
        <v>March</v>
      </c>
      <c r="T1158" s="1">
        <f>COUNTIF(S:S,Table1[[#This Row],[Months List]])</f>
        <v>0</v>
      </c>
      <c r="U1158" t="str">
        <f>TEXT(Table1[[#This Row],[Hiring Date]],"dddd")</f>
        <v>Tuesday</v>
      </c>
      <c r="V1158" s="1" t="str">
        <f>TEXT(Table1[[#This Row],[Hiring Date]],"yyyy")</f>
        <v>2025</v>
      </c>
    </row>
    <row r="1159" spans="1:22">
      <c r="A1159" t="s">
        <v>79</v>
      </c>
      <c r="B1159">
        <v>38</v>
      </c>
      <c r="C1159">
        <v>653</v>
      </c>
      <c r="D1159" t="s">
        <v>14</v>
      </c>
      <c r="E1159" t="s">
        <v>1497</v>
      </c>
      <c r="F1159" t="s">
        <v>1499</v>
      </c>
      <c r="G1159">
        <v>50</v>
      </c>
      <c r="H1159">
        <v>3</v>
      </c>
      <c r="I1159">
        <v>2</v>
      </c>
      <c r="J1159" t="s">
        <v>1484</v>
      </c>
      <c r="K1159" t="s">
        <v>1485</v>
      </c>
      <c r="L1159">
        <v>4</v>
      </c>
      <c r="M1159" t="s">
        <v>12</v>
      </c>
      <c r="N1159">
        <v>1</v>
      </c>
      <c r="O1159" t="s">
        <v>13</v>
      </c>
      <c r="P1159">
        <v>10</v>
      </c>
      <c r="Q1159" s="4">
        <v>45886</v>
      </c>
      <c r="R1159" s="4"/>
      <c r="S1159" t="str">
        <f>TEXT(Table1[[#This Row],[Hiring Date]],"mmmm")</f>
        <v>August</v>
      </c>
      <c r="T1159" s="1">
        <f>COUNTIF(S:S,Table1[[#This Row],[Months List]])</f>
        <v>0</v>
      </c>
      <c r="U1159" t="str">
        <f>TEXT(Table1[[#This Row],[Hiring Date]],"dddd")</f>
        <v>Sunday</v>
      </c>
      <c r="V1159" s="1" t="str">
        <f>TEXT(Table1[[#This Row],[Hiring Date]],"yyyy")</f>
        <v>2025</v>
      </c>
    </row>
    <row r="1160" spans="1:22">
      <c r="A1160" t="s">
        <v>727</v>
      </c>
      <c r="B1160">
        <v>31</v>
      </c>
      <c r="C1160">
        <v>335</v>
      </c>
      <c r="D1160" t="s">
        <v>14</v>
      </c>
      <c r="E1160" t="s">
        <v>1495</v>
      </c>
      <c r="F1160" t="s">
        <v>1496</v>
      </c>
      <c r="G1160">
        <v>46</v>
      </c>
      <c r="H1160">
        <v>2</v>
      </c>
      <c r="I1160">
        <v>1</v>
      </c>
      <c r="J1160" t="s">
        <v>1476</v>
      </c>
      <c r="K1160" t="s">
        <v>1477</v>
      </c>
      <c r="L1160">
        <v>1</v>
      </c>
      <c r="M1160" t="s">
        <v>12</v>
      </c>
      <c r="N1160">
        <v>0</v>
      </c>
      <c r="O1160" t="s">
        <v>10</v>
      </c>
      <c r="P1160">
        <v>4</v>
      </c>
      <c r="Q1160" s="4">
        <v>45895</v>
      </c>
      <c r="R1160" s="4"/>
      <c r="S1160" t="str">
        <f>TEXT(Table1[[#This Row],[Hiring Date]],"mmmm")</f>
        <v>August</v>
      </c>
      <c r="T1160" s="1">
        <f>COUNTIF(S:S,Table1[[#This Row],[Months List]])</f>
        <v>0</v>
      </c>
      <c r="U1160" t="str">
        <f>TEXT(Table1[[#This Row],[Hiring Date]],"dddd")</f>
        <v>Tuesday</v>
      </c>
      <c r="V1160" s="1" t="str">
        <f>TEXT(Table1[[#This Row],[Hiring Date]],"yyyy")</f>
        <v>2025</v>
      </c>
    </row>
    <row r="1161" spans="1:22">
      <c r="A1161" t="s">
        <v>728</v>
      </c>
      <c r="B1161">
        <v>33</v>
      </c>
      <c r="C1161">
        <v>722</v>
      </c>
      <c r="D1161" t="s">
        <v>11</v>
      </c>
      <c r="E1161" t="s">
        <v>1497</v>
      </c>
      <c r="F1161" t="s">
        <v>1496</v>
      </c>
      <c r="G1161">
        <v>38</v>
      </c>
      <c r="H1161">
        <v>3</v>
      </c>
      <c r="I1161">
        <v>4</v>
      </c>
      <c r="J1161" t="s">
        <v>1482</v>
      </c>
      <c r="K1161" t="s">
        <v>1483</v>
      </c>
      <c r="L1161">
        <v>3</v>
      </c>
      <c r="M1161" t="s">
        <v>12</v>
      </c>
      <c r="N1161">
        <v>1</v>
      </c>
      <c r="O1161" t="s">
        <v>13</v>
      </c>
      <c r="P1161">
        <v>10</v>
      </c>
      <c r="Q1161" s="4">
        <v>45748</v>
      </c>
      <c r="R1161" s="4"/>
      <c r="S1161" t="str">
        <f>TEXT(Table1[[#This Row],[Hiring Date]],"mmmm")</f>
        <v>April</v>
      </c>
      <c r="T1161" s="1">
        <f>COUNTIF(S:S,Table1[[#This Row],[Months List]])</f>
        <v>0</v>
      </c>
      <c r="U1161" t="str">
        <f>TEXT(Table1[[#This Row],[Hiring Date]],"dddd")</f>
        <v>Tuesday</v>
      </c>
      <c r="V1161" s="1" t="str">
        <f>TEXT(Table1[[#This Row],[Hiring Date]],"yyyy")</f>
        <v>2025</v>
      </c>
    </row>
    <row r="1162" spans="1:22">
      <c r="A1162" t="s">
        <v>729</v>
      </c>
      <c r="B1162">
        <v>29</v>
      </c>
      <c r="C1162">
        <v>906</v>
      </c>
      <c r="D1162" t="s">
        <v>14</v>
      </c>
      <c r="E1162" t="s">
        <v>1497</v>
      </c>
      <c r="F1162" t="s">
        <v>1499</v>
      </c>
      <c r="G1162">
        <v>92</v>
      </c>
      <c r="H1162">
        <v>2</v>
      </c>
      <c r="I1162">
        <v>1</v>
      </c>
      <c r="J1162" t="s">
        <v>1476</v>
      </c>
      <c r="K1162" t="s">
        <v>1477</v>
      </c>
      <c r="L1162">
        <v>1</v>
      </c>
      <c r="M1162" t="s">
        <v>12</v>
      </c>
      <c r="N1162">
        <v>6</v>
      </c>
      <c r="O1162" t="s">
        <v>10</v>
      </c>
      <c r="P1162">
        <v>3</v>
      </c>
      <c r="Q1162" s="4">
        <v>45664</v>
      </c>
      <c r="R1162" s="4"/>
      <c r="S1162" t="str">
        <f>TEXT(Table1[[#This Row],[Hiring Date]],"mmmm")</f>
        <v>January</v>
      </c>
      <c r="T1162" s="1">
        <f>COUNTIF(S:S,Table1[[#This Row],[Months List]])</f>
        <v>0</v>
      </c>
      <c r="U1162" t="str">
        <f>TEXT(Table1[[#This Row],[Hiring Date]],"dddd")</f>
        <v>Tuesday</v>
      </c>
      <c r="V1162" s="1" t="str">
        <f>TEXT(Table1[[#This Row],[Hiring Date]],"yyyy")</f>
        <v>2025</v>
      </c>
    </row>
    <row r="1163" spans="1:22">
      <c r="A1163" t="s">
        <v>730</v>
      </c>
      <c r="B1163">
        <v>33</v>
      </c>
      <c r="C1163">
        <v>461</v>
      </c>
      <c r="D1163" t="s">
        <v>14</v>
      </c>
      <c r="E1163" t="s">
        <v>1497</v>
      </c>
      <c r="F1163" t="s">
        <v>1499</v>
      </c>
      <c r="G1163">
        <v>53</v>
      </c>
      <c r="H1163">
        <v>3</v>
      </c>
      <c r="I1163">
        <v>1</v>
      </c>
      <c r="J1163" t="s">
        <v>1476</v>
      </c>
      <c r="K1163" t="s">
        <v>1477</v>
      </c>
      <c r="L1163">
        <v>4</v>
      </c>
      <c r="M1163" t="s">
        <v>12</v>
      </c>
      <c r="N1163">
        <v>3</v>
      </c>
      <c r="O1163" t="s">
        <v>13</v>
      </c>
      <c r="P1163">
        <v>5</v>
      </c>
      <c r="Q1163" s="4">
        <v>45668</v>
      </c>
      <c r="R1163" s="4"/>
      <c r="S1163" t="str">
        <f>TEXT(Table1[[#This Row],[Hiring Date]],"mmmm")</f>
        <v>January</v>
      </c>
      <c r="T1163" s="1">
        <f>COUNTIF(S:S,Table1[[#This Row],[Months List]])</f>
        <v>0</v>
      </c>
      <c r="U1163" t="str">
        <f>TEXT(Table1[[#This Row],[Hiring Date]],"dddd")</f>
        <v>Saturday</v>
      </c>
      <c r="V1163" s="1" t="str">
        <f>TEXT(Table1[[#This Row],[Hiring Date]],"yyyy")</f>
        <v>2025</v>
      </c>
    </row>
    <row r="1164" spans="1:22">
      <c r="A1164" t="s">
        <v>731</v>
      </c>
      <c r="B1164">
        <v>45</v>
      </c>
      <c r="C1164">
        <v>974</v>
      </c>
      <c r="D1164" t="s">
        <v>14</v>
      </c>
      <c r="E1164" t="s">
        <v>1495</v>
      </c>
      <c r="F1164" t="s">
        <v>1499</v>
      </c>
      <c r="G1164">
        <v>91</v>
      </c>
      <c r="H1164">
        <v>3</v>
      </c>
      <c r="I1164">
        <v>1</v>
      </c>
      <c r="J1164" t="s">
        <v>1484</v>
      </c>
      <c r="K1164" t="s">
        <v>1485</v>
      </c>
      <c r="L1164">
        <v>4</v>
      </c>
      <c r="M1164" t="s">
        <v>16</v>
      </c>
      <c r="N1164">
        <v>3</v>
      </c>
      <c r="O1164" t="s">
        <v>13</v>
      </c>
      <c r="P1164">
        <v>8</v>
      </c>
      <c r="Q1164" s="4">
        <v>45838</v>
      </c>
      <c r="R1164" s="4"/>
      <c r="S1164" t="str">
        <f>TEXT(Table1[[#This Row],[Hiring Date]],"mmmm")</f>
        <v>June</v>
      </c>
      <c r="T1164" s="1">
        <f>COUNTIF(S:S,Table1[[#This Row],[Months List]])</f>
        <v>0</v>
      </c>
      <c r="U1164" t="str">
        <f>TEXT(Table1[[#This Row],[Hiring Date]],"dddd")</f>
        <v>Monday</v>
      </c>
      <c r="V1164" s="1" t="str">
        <f>TEXT(Table1[[#This Row],[Hiring Date]],"yyyy")</f>
        <v>2025</v>
      </c>
    </row>
    <row r="1165" spans="1:22">
      <c r="A1165" t="s">
        <v>732</v>
      </c>
      <c r="B1165">
        <v>50</v>
      </c>
      <c r="C1165">
        <v>1126</v>
      </c>
      <c r="D1165" t="s">
        <v>14</v>
      </c>
      <c r="E1165" t="s">
        <v>1495</v>
      </c>
      <c r="F1165" t="s">
        <v>1496</v>
      </c>
      <c r="G1165">
        <v>66</v>
      </c>
      <c r="H1165">
        <v>3</v>
      </c>
      <c r="I1165">
        <v>4</v>
      </c>
      <c r="J1165" t="s">
        <v>1487</v>
      </c>
      <c r="K1165" t="s">
        <v>1488</v>
      </c>
      <c r="L1165">
        <v>4</v>
      </c>
      <c r="M1165" t="s">
        <v>16</v>
      </c>
      <c r="N1165">
        <v>9</v>
      </c>
      <c r="O1165" t="s">
        <v>13</v>
      </c>
      <c r="P1165">
        <v>32</v>
      </c>
      <c r="Q1165" s="4">
        <v>45912</v>
      </c>
      <c r="R1165" s="4"/>
      <c r="S1165" t="str">
        <f>TEXT(Table1[[#This Row],[Hiring Date]],"mmmm")</f>
        <v>September</v>
      </c>
      <c r="T1165" s="1">
        <f>COUNTIF(S:S,Table1[[#This Row],[Months List]])</f>
        <v>0</v>
      </c>
      <c r="U1165" t="str">
        <f>TEXT(Table1[[#This Row],[Hiring Date]],"dddd")</f>
        <v>Friday</v>
      </c>
      <c r="V1165" s="1" t="str">
        <f>TEXT(Table1[[#This Row],[Hiring Date]],"yyyy")</f>
        <v>2025</v>
      </c>
    </row>
    <row r="1166" spans="1:22">
      <c r="A1166" t="s">
        <v>733</v>
      </c>
      <c r="B1166">
        <v>33</v>
      </c>
      <c r="C1166">
        <v>827</v>
      </c>
      <c r="D1166" t="s">
        <v>14</v>
      </c>
      <c r="E1166" t="s">
        <v>1500</v>
      </c>
      <c r="F1166" t="s">
        <v>1499</v>
      </c>
      <c r="G1166">
        <v>84</v>
      </c>
      <c r="H1166">
        <v>4</v>
      </c>
      <c r="I1166">
        <v>2</v>
      </c>
      <c r="J1166" t="s">
        <v>1478</v>
      </c>
      <c r="K1166" t="s">
        <v>1479</v>
      </c>
      <c r="L1166">
        <v>2</v>
      </c>
      <c r="M1166" t="s">
        <v>15</v>
      </c>
      <c r="N1166">
        <v>1</v>
      </c>
      <c r="O1166" t="s">
        <v>10</v>
      </c>
      <c r="P1166">
        <v>6</v>
      </c>
      <c r="Q1166" s="4">
        <v>45647</v>
      </c>
      <c r="R1166" s="4"/>
      <c r="S1166" t="str">
        <f>TEXT(Table1[[#This Row],[Hiring Date]],"mmmm")</f>
        <v>December</v>
      </c>
      <c r="T1166" s="1">
        <f>COUNTIF(S:S,Table1[[#This Row],[Months List]])</f>
        <v>0</v>
      </c>
      <c r="U1166" t="str">
        <f>TEXT(Table1[[#This Row],[Hiring Date]],"dddd")</f>
        <v>Saturday</v>
      </c>
      <c r="V1166" s="1" t="str">
        <f>TEXT(Table1[[#This Row],[Hiring Date]],"yyyy")</f>
        <v>2024</v>
      </c>
    </row>
    <row r="1167" spans="1:22">
      <c r="A1167" t="s">
        <v>734</v>
      </c>
      <c r="B1167">
        <v>41</v>
      </c>
      <c r="C1167">
        <v>840</v>
      </c>
      <c r="D1167" t="s">
        <v>14</v>
      </c>
      <c r="E1167" t="s">
        <v>1495</v>
      </c>
      <c r="F1167" t="s">
        <v>1496</v>
      </c>
      <c r="G1167">
        <v>64</v>
      </c>
      <c r="H1167">
        <v>3</v>
      </c>
      <c r="I1167">
        <v>5</v>
      </c>
      <c r="J1167" t="s">
        <v>1487</v>
      </c>
      <c r="K1167" t="s">
        <v>1488</v>
      </c>
      <c r="L1167">
        <v>3</v>
      </c>
      <c r="M1167" t="s">
        <v>16</v>
      </c>
      <c r="N1167">
        <v>2</v>
      </c>
      <c r="O1167" t="s">
        <v>13</v>
      </c>
      <c r="P1167">
        <v>21</v>
      </c>
      <c r="Q1167" s="4">
        <v>45834</v>
      </c>
      <c r="R1167" s="4"/>
      <c r="S1167" t="str">
        <f>TEXT(Table1[[#This Row],[Hiring Date]],"mmmm")</f>
        <v>June</v>
      </c>
      <c r="T1167" s="1">
        <f>COUNTIF(S:S,Table1[[#This Row],[Months List]])</f>
        <v>0</v>
      </c>
      <c r="U1167" t="str">
        <f>TEXT(Table1[[#This Row],[Hiring Date]],"dddd")</f>
        <v>Thursday</v>
      </c>
      <c r="V1167" s="1" t="str">
        <f>TEXT(Table1[[#This Row],[Hiring Date]],"yyyy")</f>
        <v>2025</v>
      </c>
    </row>
    <row r="1168" spans="1:22">
      <c r="A1168" t="s">
        <v>735</v>
      </c>
      <c r="B1168">
        <v>27</v>
      </c>
      <c r="C1168">
        <v>1134</v>
      </c>
      <c r="D1168" t="s">
        <v>14</v>
      </c>
      <c r="E1168" t="s">
        <v>1501</v>
      </c>
      <c r="F1168" t="s">
        <v>1499</v>
      </c>
      <c r="G1168">
        <v>37</v>
      </c>
      <c r="H1168">
        <v>3</v>
      </c>
      <c r="I1168">
        <v>1</v>
      </c>
      <c r="J1168" t="s">
        <v>1484</v>
      </c>
      <c r="K1168" t="s">
        <v>1485</v>
      </c>
      <c r="L1168">
        <v>2</v>
      </c>
      <c r="M1168" t="s">
        <v>15</v>
      </c>
      <c r="N1168">
        <v>9</v>
      </c>
      <c r="O1168" t="s">
        <v>13</v>
      </c>
      <c r="P1168">
        <v>4</v>
      </c>
      <c r="Q1168" s="4">
        <v>45753</v>
      </c>
      <c r="R1168" s="4"/>
      <c r="S1168" t="str">
        <f>TEXT(Table1[[#This Row],[Hiring Date]],"mmmm")</f>
        <v>April</v>
      </c>
      <c r="T1168" s="1">
        <f>COUNTIF(S:S,Table1[[#This Row],[Months List]])</f>
        <v>0</v>
      </c>
      <c r="U1168" t="str">
        <f>TEXT(Table1[[#This Row],[Hiring Date]],"dddd")</f>
        <v>Sunday</v>
      </c>
      <c r="V1168" s="1" t="str">
        <f>TEXT(Table1[[#This Row],[Hiring Date]],"yyyy")</f>
        <v>2025</v>
      </c>
    </row>
    <row r="1169" spans="1:22">
      <c r="A1169" t="s">
        <v>736</v>
      </c>
      <c r="B1169">
        <v>45</v>
      </c>
      <c r="C1169">
        <v>248</v>
      </c>
      <c r="D1169" t="s">
        <v>14</v>
      </c>
      <c r="E1169" t="s">
        <v>1497</v>
      </c>
      <c r="F1169" t="s">
        <v>1496</v>
      </c>
      <c r="G1169">
        <v>42</v>
      </c>
      <c r="H1169">
        <v>3</v>
      </c>
      <c r="I1169">
        <v>2</v>
      </c>
      <c r="J1169" t="s">
        <v>1484</v>
      </c>
      <c r="K1169" t="s">
        <v>1485</v>
      </c>
      <c r="L1169">
        <v>1</v>
      </c>
      <c r="M1169" t="s">
        <v>15</v>
      </c>
      <c r="N1169">
        <v>1</v>
      </c>
      <c r="O1169" t="s">
        <v>10</v>
      </c>
      <c r="P1169">
        <v>9</v>
      </c>
      <c r="Q1169" s="4">
        <v>45737</v>
      </c>
      <c r="R1169" s="4"/>
      <c r="S1169" t="str">
        <f>TEXT(Table1[[#This Row],[Hiring Date]],"mmmm")</f>
        <v>March</v>
      </c>
      <c r="T1169" s="1">
        <f>COUNTIF(S:S,Table1[[#This Row],[Months List]])</f>
        <v>0</v>
      </c>
      <c r="U1169" t="str">
        <f>TEXT(Table1[[#This Row],[Hiring Date]],"dddd")</f>
        <v>Friday</v>
      </c>
      <c r="V1169" s="1" t="str">
        <f>TEXT(Table1[[#This Row],[Hiring Date]],"yyyy")</f>
        <v>2025</v>
      </c>
    </row>
    <row r="1170" spans="1:22">
      <c r="A1170" t="s">
        <v>80</v>
      </c>
      <c r="B1170">
        <v>50</v>
      </c>
      <c r="C1170">
        <v>989</v>
      </c>
      <c r="D1170" t="s">
        <v>14</v>
      </c>
      <c r="E1170" t="s">
        <v>1495</v>
      </c>
      <c r="F1170" t="s">
        <v>1499</v>
      </c>
      <c r="G1170">
        <v>43</v>
      </c>
      <c r="H1170">
        <v>2</v>
      </c>
      <c r="I1170">
        <v>5</v>
      </c>
      <c r="J1170" t="s">
        <v>1487</v>
      </c>
      <c r="K1170" t="s">
        <v>1488</v>
      </c>
      <c r="L1170">
        <v>3</v>
      </c>
      <c r="M1170" t="s">
        <v>16</v>
      </c>
      <c r="N1170">
        <v>5</v>
      </c>
      <c r="O1170" t="s">
        <v>10</v>
      </c>
      <c r="P1170">
        <v>29</v>
      </c>
      <c r="Q1170" s="4">
        <v>45801</v>
      </c>
      <c r="R1170" s="4"/>
      <c r="S1170" t="str">
        <f>TEXT(Table1[[#This Row],[Hiring Date]],"mmmm")</f>
        <v>May</v>
      </c>
      <c r="T1170" s="1">
        <f>COUNTIF(S:S,Table1[[#This Row],[Months List]])</f>
        <v>0</v>
      </c>
      <c r="U1170" t="str">
        <f>TEXT(Table1[[#This Row],[Hiring Date]],"dddd")</f>
        <v>Saturday</v>
      </c>
      <c r="V1170" s="1" t="str">
        <f>TEXT(Table1[[#This Row],[Hiring Date]],"yyyy")</f>
        <v>2025</v>
      </c>
    </row>
    <row r="1171" spans="1:22">
      <c r="A1171" t="s">
        <v>737</v>
      </c>
      <c r="B1171">
        <v>47</v>
      </c>
      <c r="C1171">
        <v>955</v>
      </c>
      <c r="D1171" t="s">
        <v>11</v>
      </c>
      <c r="E1171" t="s">
        <v>1497</v>
      </c>
      <c r="F1171" t="s">
        <v>1499</v>
      </c>
      <c r="G1171">
        <v>83</v>
      </c>
      <c r="H1171">
        <v>3</v>
      </c>
      <c r="I1171">
        <v>2</v>
      </c>
      <c r="J1171" t="s">
        <v>1474</v>
      </c>
      <c r="K1171" t="s">
        <v>1475</v>
      </c>
      <c r="L1171">
        <v>4</v>
      </c>
      <c r="M1171" t="s">
        <v>12</v>
      </c>
      <c r="N1171">
        <v>1</v>
      </c>
      <c r="O1171" t="s">
        <v>10</v>
      </c>
      <c r="P1171">
        <v>9</v>
      </c>
      <c r="Q1171" s="4">
        <v>45995</v>
      </c>
      <c r="R1171" s="4"/>
      <c r="S1171" t="str">
        <f>TEXT(Table1[[#This Row],[Hiring Date]],"mmmm")</f>
        <v>December</v>
      </c>
      <c r="T1171" s="1">
        <f>COUNTIF(S:S,Table1[[#This Row],[Months List]])</f>
        <v>0</v>
      </c>
      <c r="U1171" t="str">
        <f>TEXT(Table1[[#This Row],[Hiring Date]],"dddd")</f>
        <v>Thursday</v>
      </c>
      <c r="V1171" s="1" t="str">
        <f>TEXT(Table1[[#This Row],[Hiring Date]],"yyyy")</f>
        <v>2025</v>
      </c>
    </row>
    <row r="1172" spans="1:22">
      <c r="A1172" t="s">
        <v>738</v>
      </c>
      <c r="B1172">
        <v>30</v>
      </c>
      <c r="C1172">
        <v>138</v>
      </c>
      <c r="D1172" t="s">
        <v>14</v>
      </c>
      <c r="E1172" t="s">
        <v>1497</v>
      </c>
      <c r="F1172" t="s">
        <v>1499</v>
      </c>
      <c r="G1172">
        <v>48</v>
      </c>
      <c r="H1172">
        <v>3</v>
      </c>
      <c r="I1172">
        <v>1</v>
      </c>
      <c r="J1172" t="s">
        <v>1476</v>
      </c>
      <c r="K1172" t="s">
        <v>1477</v>
      </c>
      <c r="L1172">
        <v>3</v>
      </c>
      <c r="M1172" t="s">
        <v>15</v>
      </c>
      <c r="N1172">
        <v>4</v>
      </c>
      <c r="O1172" t="s">
        <v>10</v>
      </c>
      <c r="P1172">
        <v>7</v>
      </c>
      <c r="Q1172" s="4">
        <v>45642</v>
      </c>
      <c r="R1172" s="4"/>
      <c r="S1172" t="str">
        <f>TEXT(Table1[[#This Row],[Hiring Date]],"mmmm")</f>
        <v>December</v>
      </c>
      <c r="T1172" s="1">
        <f>COUNTIF(S:S,Table1[[#This Row],[Months List]])</f>
        <v>0</v>
      </c>
      <c r="U1172" t="str">
        <f>TEXT(Table1[[#This Row],[Hiring Date]],"dddd")</f>
        <v>Monday</v>
      </c>
      <c r="V1172" s="1" t="str">
        <f>TEXT(Table1[[#This Row],[Hiring Date]],"yyyy")</f>
        <v>2024</v>
      </c>
    </row>
    <row r="1173" spans="1:22">
      <c r="A1173" t="s">
        <v>739</v>
      </c>
      <c r="B1173">
        <v>50</v>
      </c>
      <c r="C1173">
        <v>939</v>
      </c>
      <c r="D1173" t="s">
        <v>14</v>
      </c>
      <c r="E1173" t="s">
        <v>1497</v>
      </c>
      <c r="F1173" t="s">
        <v>1496</v>
      </c>
      <c r="G1173">
        <v>95</v>
      </c>
      <c r="H1173">
        <v>3</v>
      </c>
      <c r="I1173">
        <v>4</v>
      </c>
      <c r="J1173" t="s">
        <v>1480</v>
      </c>
      <c r="K1173" t="s">
        <v>1481</v>
      </c>
      <c r="L1173">
        <v>3</v>
      </c>
      <c r="M1173" t="s">
        <v>15</v>
      </c>
      <c r="N1173">
        <v>3</v>
      </c>
      <c r="O1173" t="s">
        <v>10</v>
      </c>
      <c r="P1173">
        <v>22</v>
      </c>
      <c r="Q1173" s="4">
        <v>45710</v>
      </c>
      <c r="R1173" s="4"/>
      <c r="S1173" t="str">
        <f>TEXT(Table1[[#This Row],[Hiring Date]],"mmmm")</f>
        <v>February</v>
      </c>
      <c r="T1173" s="1">
        <f>COUNTIF(S:S,Table1[[#This Row],[Months List]])</f>
        <v>0</v>
      </c>
      <c r="U1173" t="str">
        <f>TEXT(Table1[[#This Row],[Hiring Date]],"dddd")</f>
        <v>Saturday</v>
      </c>
      <c r="V1173" s="1" t="str">
        <f>TEXT(Table1[[#This Row],[Hiring Date]],"yyyy")</f>
        <v>2025</v>
      </c>
    </row>
    <row r="1174" spans="1:22">
      <c r="A1174" t="s">
        <v>740</v>
      </c>
      <c r="B1174">
        <v>38</v>
      </c>
      <c r="C1174">
        <v>1391</v>
      </c>
      <c r="D1174" t="s">
        <v>14</v>
      </c>
      <c r="E1174" t="s">
        <v>1495</v>
      </c>
      <c r="F1174" t="s">
        <v>1496</v>
      </c>
      <c r="G1174">
        <v>66</v>
      </c>
      <c r="H1174">
        <v>3</v>
      </c>
      <c r="I1174">
        <v>1</v>
      </c>
      <c r="J1174" t="s">
        <v>1476</v>
      </c>
      <c r="K1174" t="s">
        <v>1477</v>
      </c>
      <c r="L1174">
        <v>3</v>
      </c>
      <c r="M1174" t="s">
        <v>15</v>
      </c>
      <c r="N1174">
        <v>0</v>
      </c>
      <c r="O1174" t="s">
        <v>13</v>
      </c>
      <c r="P1174">
        <v>3</v>
      </c>
      <c r="Q1174" s="4">
        <v>45728</v>
      </c>
      <c r="R1174" s="4"/>
      <c r="S1174" t="str">
        <f>TEXT(Table1[[#This Row],[Hiring Date]],"mmmm")</f>
        <v>March</v>
      </c>
      <c r="T1174" s="1">
        <f>COUNTIF(S:S,Table1[[#This Row],[Months List]])</f>
        <v>0</v>
      </c>
      <c r="U1174" t="str">
        <f>TEXT(Table1[[#This Row],[Hiring Date]],"dddd")</f>
        <v>Wednesday</v>
      </c>
      <c r="V1174" s="1" t="str">
        <f>TEXT(Table1[[#This Row],[Hiring Date]],"yyyy")</f>
        <v>2025</v>
      </c>
    </row>
    <row r="1175" spans="1:22">
      <c r="A1175" t="s">
        <v>741</v>
      </c>
      <c r="B1175">
        <v>46</v>
      </c>
      <c r="C1175">
        <v>566</v>
      </c>
      <c r="D1175" t="s">
        <v>14</v>
      </c>
      <c r="E1175" t="s">
        <v>1495</v>
      </c>
      <c r="F1175" t="s">
        <v>1496</v>
      </c>
      <c r="G1175">
        <v>75</v>
      </c>
      <c r="H1175">
        <v>3</v>
      </c>
      <c r="I1175">
        <v>3</v>
      </c>
      <c r="J1175" t="s">
        <v>1480</v>
      </c>
      <c r="K1175" t="s">
        <v>1481</v>
      </c>
      <c r="L1175">
        <v>3</v>
      </c>
      <c r="M1175" t="s">
        <v>16</v>
      </c>
      <c r="N1175">
        <v>6</v>
      </c>
      <c r="O1175" t="s">
        <v>13</v>
      </c>
      <c r="P1175">
        <v>13</v>
      </c>
      <c r="Q1175" s="4">
        <v>45924</v>
      </c>
      <c r="R1175" s="4"/>
      <c r="S1175" t="str">
        <f>TEXT(Table1[[#This Row],[Hiring Date]],"mmmm")</f>
        <v>September</v>
      </c>
      <c r="T1175" s="1">
        <f>COUNTIF(S:S,Table1[[#This Row],[Months List]])</f>
        <v>0</v>
      </c>
      <c r="U1175" t="str">
        <f>TEXT(Table1[[#This Row],[Hiring Date]],"dddd")</f>
        <v>Wednesday</v>
      </c>
      <c r="V1175" s="1" t="str">
        <f>TEXT(Table1[[#This Row],[Hiring Date]],"yyyy")</f>
        <v>2025</v>
      </c>
    </row>
    <row r="1176" spans="1:22">
      <c r="A1176" t="s">
        <v>742</v>
      </c>
      <c r="B1176">
        <v>24</v>
      </c>
      <c r="C1176">
        <v>1206</v>
      </c>
      <c r="D1176" t="s">
        <v>14</v>
      </c>
      <c r="E1176" t="s">
        <v>1495</v>
      </c>
      <c r="F1176" t="s">
        <v>1499</v>
      </c>
      <c r="G1176">
        <v>41</v>
      </c>
      <c r="H1176">
        <v>2</v>
      </c>
      <c r="I1176">
        <v>2</v>
      </c>
      <c r="J1176" t="s">
        <v>1480</v>
      </c>
      <c r="K1176" t="s">
        <v>1481</v>
      </c>
      <c r="L1176">
        <v>3</v>
      </c>
      <c r="M1176" t="s">
        <v>16</v>
      </c>
      <c r="N1176">
        <v>1</v>
      </c>
      <c r="O1176" t="s">
        <v>13</v>
      </c>
      <c r="P1176">
        <v>5</v>
      </c>
      <c r="Q1176" s="4">
        <v>45736</v>
      </c>
      <c r="R1176" s="4"/>
      <c r="S1176" t="str">
        <f>TEXT(Table1[[#This Row],[Hiring Date]],"mmmm")</f>
        <v>March</v>
      </c>
      <c r="T1176" s="1">
        <f>COUNTIF(S:S,Table1[[#This Row],[Months List]])</f>
        <v>0</v>
      </c>
      <c r="U1176" t="str">
        <f>TEXT(Table1[[#This Row],[Hiring Date]],"dddd")</f>
        <v>Thursday</v>
      </c>
      <c r="V1176" s="1" t="str">
        <f>TEXT(Table1[[#This Row],[Hiring Date]],"yyyy")</f>
        <v>2025</v>
      </c>
    </row>
    <row r="1177" spans="1:22">
      <c r="A1177" t="s">
        <v>743</v>
      </c>
      <c r="B1177">
        <v>35</v>
      </c>
      <c r="C1177">
        <v>622</v>
      </c>
      <c r="D1177" t="s">
        <v>14</v>
      </c>
      <c r="E1177" t="s">
        <v>1500</v>
      </c>
      <c r="F1177" t="s">
        <v>1496</v>
      </c>
      <c r="G1177">
        <v>39</v>
      </c>
      <c r="H1177">
        <v>2</v>
      </c>
      <c r="I1177">
        <v>1</v>
      </c>
      <c r="J1177" t="s">
        <v>1484</v>
      </c>
      <c r="K1177" t="s">
        <v>1485</v>
      </c>
      <c r="L1177">
        <v>2</v>
      </c>
      <c r="M1177" t="s">
        <v>16</v>
      </c>
      <c r="N1177">
        <v>1</v>
      </c>
      <c r="O1177" t="s">
        <v>10</v>
      </c>
      <c r="P1177">
        <v>5</v>
      </c>
      <c r="Q1177" s="4">
        <v>45938</v>
      </c>
      <c r="R1177" s="4"/>
      <c r="S1177" t="str">
        <f>TEXT(Table1[[#This Row],[Hiring Date]],"mmmm")</f>
        <v>October</v>
      </c>
      <c r="T1177" s="1">
        <f>COUNTIF(S:S,Table1[[#This Row],[Months List]])</f>
        <v>0</v>
      </c>
      <c r="U1177" t="str">
        <f>TEXT(Table1[[#This Row],[Hiring Date]],"dddd")</f>
        <v>Wednesday</v>
      </c>
      <c r="V1177" s="1" t="str">
        <f>TEXT(Table1[[#This Row],[Hiring Date]],"yyyy")</f>
        <v>2025</v>
      </c>
    </row>
    <row r="1178" spans="1:22">
      <c r="A1178" t="s">
        <v>744</v>
      </c>
      <c r="B1178">
        <v>31</v>
      </c>
      <c r="C1178">
        <v>853</v>
      </c>
      <c r="D1178" t="s">
        <v>14</v>
      </c>
      <c r="E1178" t="s">
        <v>1497</v>
      </c>
      <c r="F1178" t="s">
        <v>1499</v>
      </c>
      <c r="G1178">
        <v>96</v>
      </c>
      <c r="H1178">
        <v>3</v>
      </c>
      <c r="I1178">
        <v>2</v>
      </c>
      <c r="J1178" t="s">
        <v>1480</v>
      </c>
      <c r="K1178" t="s">
        <v>1481</v>
      </c>
      <c r="L1178">
        <v>1</v>
      </c>
      <c r="M1178" t="s">
        <v>15</v>
      </c>
      <c r="N1178">
        <v>1</v>
      </c>
      <c r="O1178" t="s">
        <v>13</v>
      </c>
      <c r="P1178">
        <v>4</v>
      </c>
      <c r="Q1178" s="4">
        <v>45933</v>
      </c>
      <c r="R1178" s="4"/>
      <c r="S1178" t="str">
        <f>TEXT(Table1[[#This Row],[Hiring Date]],"mmmm")</f>
        <v>October</v>
      </c>
      <c r="T1178" s="1">
        <f>COUNTIF(S:S,Table1[[#This Row],[Months List]])</f>
        <v>0</v>
      </c>
      <c r="U1178" t="str">
        <f>TEXT(Table1[[#This Row],[Hiring Date]],"dddd")</f>
        <v>Friday</v>
      </c>
      <c r="V1178" s="1" t="str">
        <f>TEXT(Table1[[#This Row],[Hiring Date]],"yyyy")</f>
        <v>2025</v>
      </c>
    </row>
    <row r="1179" spans="1:22">
      <c r="A1179" t="s">
        <v>745</v>
      </c>
      <c r="B1179">
        <v>18</v>
      </c>
      <c r="C1179">
        <v>287</v>
      </c>
      <c r="D1179" t="s">
        <v>14</v>
      </c>
      <c r="E1179" t="s">
        <v>1497</v>
      </c>
      <c r="F1179" t="s">
        <v>1496</v>
      </c>
      <c r="G1179">
        <v>73</v>
      </c>
      <c r="H1179">
        <v>3</v>
      </c>
      <c r="I1179">
        <v>1</v>
      </c>
      <c r="J1179" t="s">
        <v>1476</v>
      </c>
      <c r="K1179" t="s">
        <v>1477</v>
      </c>
      <c r="L1179">
        <v>4</v>
      </c>
      <c r="M1179" t="s">
        <v>12</v>
      </c>
      <c r="N1179">
        <v>1</v>
      </c>
      <c r="O1179" t="s">
        <v>13</v>
      </c>
      <c r="P1179">
        <v>0</v>
      </c>
      <c r="Q1179" s="4">
        <v>45981</v>
      </c>
      <c r="R1179" s="4"/>
      <c r="S1179" t="str">
        <f>TEXT(Table1[[#This Row],[Hiring Date]],"mmmm")</f>
        <v>November</v>
      </c>
      <c r="T1179" s="1">
        <f>COUNTIF(S:S,Table1[[#This Row],[Months List]])</f>
        <v>0</v>
      </c>
      <c r="U1179" t="str">
        <f>TEXT(Table1[[#This Row],[Hiring Date]],"dddd")</f>
        <v>Thursday</v>
      </c>
      <c r="V1179" s="1" t="str">
        <f>TEXT(Table1[[#This Row],[Hiring Date]],"yyyy")</f>
        <v>2025</v>
      </c>
    </row>
    <row r="1180" spans="1:22">
      <c r="A1180" t="s">
        <v>746</v>
      </c>
      <c r="B1180">
        <v>54</v>
      </c>
      <c r="C1180">
        <v>1441</v>
      </c>
      <c r="D1180" t="s">
        <v>14</v>
      </c>
      <c r="E1180" t="s">
        <v>1501</v>
      </c>
      <c r="F1180" t="s">
        <v>1499</v>
      </c>
      <c r="G1180">
        <v>56</v>
      </c>
      <c r="H1180">
        <v>3</v>
      </c>
      <c r="I1180">
        <v>3</v>
      </c>
      <c r="J1180" t="s">
        <v>1480</v>
      </c>
      <c r="K1180" t="s">
        <v>1481</v>
      </c>
      <c r="L1180">
        <v>3</v>
      </c>
      <c r="M1180" t="s">
        <v>15</v>
      </c>
      <c r="N1180">
        <v>8</v>
      </c>
      <c r="O1180" t="s">
        <v>13</v>
      </c>
      <c r="P1180">
        <v>22</v>
      </c>
      <c r="Q1180" s="4">
        <v>45649</v>
      </c>
      <c r="R1180" s="4"/>
      <c r="S1180" t="str">
        <f>TEXT(Table1[[#This Row],[Hiring Date]],"mmmm")</f>
        <v>December</v>
      </c>
      <c r="T1180" s="1">
        <f>COUNTIF(S:S,Table1[[#This Row],[Months List]])</f>
        <v>0</v>
      </c>
      <c r="U1180" t="str">
        <f>TEXT(Table1[[#This Row],[Hiring Date]],"dddd")</f>
        <v>Monday</v>
      </c>
      <c r="V1180" s="1" t="str">
        <f>TEXT(Table1[[#This Row],[Hiring Date]],"yyyy")</f>
        <v>2024</v>
      </c>
    </row>
    <row r="1181" spans="1:22">
      <c r="A1181" t="s">
        <v>81</v>
      </c>
      <c r="B1181">
        <v>59</v>
      </c>
      <c r="C1181">
        <v>1435</v>
      </c>
      <c r="D1181" t="s">
        <v>11</v>
      </c>
      <c r="E1181" t="s">
        <v>1497</v>
      </c>
      <c r="F1181" t="s">
        <v>1499</v>
      </c>
      <c r="G1181">
        <v>99</v>
      </c>
      <c r="H1181">
        <v>3</v>
      </c>
      <c r="I1181">
        <v>3</v>
      </c>
      <c r="J1181" t="s">
        <v>1474</v>
      </c>
      <c r="K1181" t="s">
        <v>1475</v>
      </c>
      <c r="L1181">
        <v>1</v>
      </c>
      <c r="M1181" t="s">
        <v>12</v>
      </c>
      <c r="N1181">
        <v>7</v>
      </c>
      <c r="O1181" t="s">
        <v>13</v>
      </c>
      <c r="P1181">
        <v>28</v>
      </c>
      <c r="Q1181" s="4">
        <v>45801</v>
      </c>
      <c r="R1181" s="4"/>
      <c r="S1181" t="str">
        <f>TEXT(Table1[[#This Row],[Hiring Date]],"mmmm")</f>
        <v>May</v>
      </c>
      <c r="T1181" s="1">
        <f>COUNTIF(S:S,Table1[[#This Row],[Months List]])</f>
        <v>0</v>
      </c>
      <c r="U1181" t="str">
        <f>TEXT(Table1[[#This Row],[Hiring Date]],"dddd")</f>
        <v>Saturday</v>
      </c>
      <c r="V1181" s="1" t="str">
        <f>TEXT(Table1[[#This Row],[Hiring Date]],"yyyy")</f>
        <v>2025</v>
      </c>
    </row>
    <row r="1182" spans="1:22">
      <c r="A1182" t="s">
        <v>747</v>
      </c>
      <c r="B1182">
        <v>35</v>
      </c>
      <c r="C1182">
        <v>583</v>
      </c>
      <c r="D1182" t="s">
        <v>14</v>
      </c>
      <c r="E1182" t="s">
        <v>1495</v>
      </c>
      <c r="F1182" t="s">
        <v>1499</v>
      </c>
      <c r="G1182">
        <v>57</v>
      </c>
      <c r="H1182">
        <v>3</v>
      </c>
      <c r="I1182">
        <v>3</v>
      </c>
      <c r="J1182" t="s">
        <v>1478</v>
      </c>
      <c r="K1182" t="s">
        <v>1479</v>
      </c>
      <c r="L1182">
        <v>3</v>
      </c>
      <c r="M1182" t="s">
        <v>16</v>
      </c>
      <c r="N1182">
        <v>1</v>
      </c>
      <c r="O1182" t="s">
        <v>10</v>
      </c>
      <c r="P1182">
        <v>16</v>
      </c>
      <c r="Q1182" s="4">
        <v>45744</v>
      </c>
      <c r="R1182" s="4"/>
      <c r="S1182" t="str">
        <f>TEXT(Table1[[#This Row],[Hiring Date]],"mmmm")</f>
        <v>March</v>
      </c>
      <c r="T1182" s="1">
        <f>COUNTIF(S:S,Table1[[#This Row],[Months List]])</f>
        <v>0</v>
      </c>
      <c r="U1182" t="str">
        <f>TEXT(Table1[[#This Row],[Hiring Date]],"dddd")</f>
        <v>Friday</v>
      </c>
      <c r="V1182" s="1" t="str">
        <f>TEXT(Table1[[#This Row],[Hiring Date]],"yyyy")</f>
        <v>2025</v>
      </c>
    </row>
    <row r="1183" spans="1:22">
      <c r="A1183" t="s">
        <v>748</v>
      </c>
      <c r="B1183">
        <v>30</v>
      </c>
      <c r="C1183">
        <v>153</v>
      </c>
      <c r="D1183" t="s">
        <v>14</v>
      </c>
      <c r="E1183" t="s">
        <v>1497</v>
      </c>
      <c r="F1183" t="s">
        <v>1499</v>
      </c>
      <c r="G1183">
        <v>73</v>
      </c>
      <c r="H1183">
        <v>4</v>
      </c>
      <c r="I1183">
        <v>3</v>
      </c>
      <c r="J1183" t="s">
        <v>1487</v>
      </c>
      <c r="K1183" t="s">
        <v>1488</v>
      </c>
      <c r="L1183">
        <v>1</v>
      </c>
      <c r="M1183" t="s">
        <v>15</v>
      </c>
      <c r="N1183">
        <v>0</v>
      </c>
      <c r="O1183" t="s">
        <v>10</v>
      </c>
      <c r="P1183">
        <v>9</v>
      </c>
      <c r="Q1183" s="4">
        <v>45746</v>
      </c>
      <c r="R1183" s="4"/>
      <c r="S1183" t="str">
        <f>TEXT(Table1[[#This Row],[Hiring Date]],"mmmm")</f>
        <v>March</v>
      </c>
      <c r="T1183" s="1">
        <f>COUNTIF(S:S,Table1[[#This Row],[Months List]])</f>
        <v>0</v>
      </c>
      <c r="U1183" t="str">
        <f>TEXT(Table1[[#This Row],[Hiring Date]],"dddd")</f>
        <v>Sunday</v>
      </c>
      <c r="V1183" s="1" t="str">
        <f>TEXT(Table1[[#This Row],[Hiring Date]],"yyyy")</f>
        <v>2025</v>
      </c>
    </row>
    <row r="1184" spans="1:22">
      <c r="A1184" t="s">
        <v>749</v>
      </c>
      <c r="B1184">
        <v>20</v>
      </c>
      <c r="C1184">
        <v>1097</v>
      </c>
      <c r="D1184" t="s">
        <v>14</v>
      </c>
      <c r="E1184" t="s">
        <v>1495</v>
      </c>
      <c r="F1184" t="s">
        <v>1499</v>
      </c>
      <c r="G1184">
        <v>98</v>
      </c>
      <c r="H1184">
        <v>2</v>
      </c>
      <c r="I1184">
        <v>1</v>
      </c>
      <c r="J1184" t="s">
        <v>1476</v>
      </c>
      <c r="K1184" t="s">
        <v>1477</v>
      </c>
      <c r="L1184">
        <v>1</v>
      </c>
      <c r="M1184" t="s">
        <v>12</v>
      </c>
      <c r="N1184">
        <v>1</v>
      </c>
      <c r="O1184" t="s">
        <v>10</v>
      </c>
      <c r="P1184">
        <v>1</v>
      </c>
      <c r="Q1184" s="4">
        <v>45764</v>
      </c>
      <c r="R1184" s="4"/>
      <c r="S1184" t="str">
        <f>TEXT(Table1[[#This Row],[Hiring Date]],"mmmm")</f>
        <v>April</v>
      </c>
      <c r="T1184" s="1">
        <f>COUNTIF(S:S,Table1[[#This Row],[Months List]])</f>
        <v>0</v>
      </c>
      <c r="U1184" t="str">
        <f>TEXT(Table1[[#This Row],[Hiring Date]],"dddd")</f>
        <v>Thursday</v>
      </c>
      <c r="V1184" s="1" t="str">
        <f>TEXT(Table1[[#This Row],[Hiring Date]],"yyyy")</f>
        <v>2025</v>
      </c>
    </row>
    <row r="1185" spans="1:22">
      <c r="A1185" t="s">
        <v>750</v>
      </c>
      <c r="B1185">
        <v>30</v>
      </c>
      <c r="C1185">
        <v>109</v>
      </c>
      <c r="D1185" t="s">
        <v>14</v>
      </c>
      <c r="E1185" t="s">
        <v>1495</v>
      </c>
      <c r="F1185" t="s">
        <v>1499</v>
      </c>
      <c r="G1185">
        <v>60</v>
      </c>
      <c r="H1185">
        <v>3</v>
      </c>
      <c r="I1185">
        <v>1</v>
      </c>
      <c r="J1185" t="s">
        <v>1484</v>
      </c>
      <c r="K1185" t="s">
        <v>1485</v>
      </c>
      <c r="L1185">
        <v>2</v>
      </c>
      <c r="M1185" t="s">
        <v>12</v>
      </c>
      <c r="N1185">
        <v>0</v>
      </c>
      <c r="O1185" t="s">
        <v>13</v>
      </c>
      <c r="P1185">
        <v>4</v>
      </c>
      <c r="Q1185" s="4">
        <v>45800</v>
      </c>
      <c r="R1185" s="4"/>
      <c r="S1185" t="str">
        <f>TEXT(Table1[[#This Row],[Hiring Date]],"mmmm")</f>
        <v>May</v>
      </c>
      <c r="T1185" s="1">
        <f>COUNTIF(S:S,Table1[[#This Row],[Months List]])</f>
        <v>0</v>
      </c>
      <c r="U1185" t="str">
        <f>TEXT(Table1[[#This Row],[Hiring Date]],"dddd")</f>
        <v>Friday</v>
      </c>
      <c r="V1185" s="1" t="str">
        <f>TEXT(Table1[[#This Row],[Hiring Date]],"yyyy")</f>
        <v>2025</v>
      </c>
    </row>
    <row r="1186" spans="1:22">
      <c r="A1186" t="s">
        <v>751</v>
      </c>
      <c r="B1186">
        <v>26</v>
      </c>
      <c r="C1186">
        <v>1066</v>
      </c>
      <c r="D1186" t="s">
        <v>14</v>
      </c>
      <c r="E1186" t="s">
        <v>1495</v>
      </c>
      <c r="F1186" t="s">
        <v>1496</v>
      </c>
      <c r="G1186">
        <v>32</v>
      </c>
      <c r="H1186">
        <v>4</v>
      </c>
      <c r="I1186">
        <v>2</v>
      </c>
      <c r="J1186" t="s">
        <v>1480</v>
      </c>
      <c r="K1186" t="s">
        <v>1481</v>
      </c>
      <c r="L1186">
        <v>4</v>
      </c>
      <c r="M1186" t="s">
        <v>15</v>
      </c>
      <c r="N1186">
        <v>1</v>
      </c>
      <c r="O1186" t="s">
        <v>13</v>
      </c>
      <c r="P1186">
        <v>8</v>
      </c>
      <c r="Q1186" s="4">
        <v>45881</v>
      </c>
      <c r="R1186" s="4"/>
      <c r="S1186" t="str">
        <f>TEXT(Table1[[#This Row],[Hiring Date]],"mmmm")</f>
        <v>August</v>
      </c>
      <c r="T1186" s="1">
        <f>COUNTIF(S:S,Table1[[#This Row],[Months List]])</f>
        <v>0</v>
      </c>
      <c r="U1186" t="str">
        <f>TEXT(Table1[[#This Row],[Hiring Date]],"dddd")</f>
        <v>Tuesday</v>
      </c>
      <c r="V1186" s="1" t="str">
        <f>TEXT(Table1[[#This Row],[Hiring Date]],"yyyy")</f>
        <v>2025</v>
      </c>
    </row>
    <row r="1187" spans="1:22">
      <c r="A1187" t="s">
        <v>752</v>
      </c>
      <c r="B1187">
        <v>22</v>
      </c>
      <c r="C1187">
        <v>217</v>
      </c>
      <c r="D1187" t="s">
        <v>14</v>
      </c>
      <c r="E1187" t="s">
        <v>1497</v>
      </c>
      <c r="F1187" t="s">
        <v>1496</v>
      </c>
      <c r="G1187">
        <v>94</v>
      </c>
      <c r="H1187">
        <v>1</v>
      </c>
      <c r="I1187">
        <v>1</v>
      </c>
      <c r="J1187" t="s">
        <v>1484</v>
      </c>
      <c r="K1187" t="s">
        <v>1485</v>
      </c>
      <c r="L1187">
        <v>1</v>
      </c>
      <c r="M1187" t="s">
        <v>15</v>
      </c>
      <c r="N1187">
        <v>1</v>
      </c>
      <c r="O1187" t="s">
        <v>13</v>
      </c>
      <c r="P1187">
        <v>4</v>
      </c>
      <c r="Q1187" s="4">
        <v>45797</v>
      </c>
      <c r="R1187" s="4"/>
      <c r="S1187" t="str">
        <f>TEXT(Table1[[#This Row],[Hiring Date]],"mmmm")</f>
        <v>May</v>
      </c>
      <c r="T1187" s="1">
        <f>COUNTIF(S:S,Table1[[#This Row],[Months List]])</f>
        <v>0</v>
      </c>
      <c r="U1187" t="str">
        <f>TEXT(Table1[[#This Row],[Hiring Date]],"dddd")</f>
        <v>Tuesday</v>
      </c>
      <c r="V1187" s="1" t="str">
        <f>TEXT(Table1[[#This Row],[Hiring Date]],"yyyy")</f>
        <v>2025</v>
      </c>
    </row>
    <row r="1188" spans="1:22">
      <c r="A1188" t="s">
        <v>753</v>
      </c>
      <c r="B1188">
        <v>48</v>
      </c>
      <c r="C1188">
        <v>277</v>
      </c>
      <c r="D1188" t="s">
        <v>14</v>
      </c>
      <c r="E1188" t="s">
        <v>1497</v>
      </c>
      <c r="F1188" t="s">
        <v>1496</v>
      </c>
      <c r="G1188">
        <v>97</v>
      </c>
      <c r="H1188">
        <v>2</v>
      </c>
      <c r="I1188">
        <v>2</v>
      </c>
      <c r="J1188" t="s">
        <v>1478</v>
      </c>
      <c r="K1188" t="s">
        <v>1479</v>
      </c>
      <c r="L1188">
        <v>3</v>
      </c>
      <c r="M1188" t="s">
        <v>12</v>
      </c>
      <c r="N1188">
        <v>2</v>
      </c>
      <c r="O1188" t="s">
        <v>13</v>
      </c>
      <c r="P1188">
        <v>19</v>
      </c>
      <c r="Q1188" s="4">
        <v>45810</v>
      </c>
      <c r="R1188" s="4"/>
      <c r="S1188" t="str">
        <f>TEXT(Table1[[#This Row],[Hiring Date]],"mmmm")</f>
        <v>June</v>
      </c>
      <c r="T1188" s="1">
        <f>COUNTIF(S:S,Table1[[#This Row],[Months List]])</f>
        <v>0</v>
      </c>
      <c r="U1188" t="str">
        <f>TEXT(Table1[[#This Row],[Hiring Date]],"dddd")</f>
        <v>Monday</v>
      </c>
      <c r="V1188" s="1" t="str">
        <f>TEXT(Table1[[#This Row],[Hiring Date]],"yyyy")</f>
        <v>2025</v>
      </c>
    </row>
    <row r="1189" spans="1:22">
      <c r="A1189" t="s">
        <v>754</v>
      </c>
      <c r="B1189">
        <v>48</v>
      </c>
      <c r="C1189">
        <v>1355</v>
      </c>
      <c r="D1189" t="s">
        <v>14</v>
      </c>
      <c r="E1189" t="s">
        <v>1497</v>
      </c>
      <c r="F1189" t="s">
        <v>1496</v>
      </c>
      <c r="G1189">
        <v>78</v>
      </c>
      <c r="H1189">
        <v>2</v>
      </c>
      <c r="I1189">
        <v>3</v>
      </c>
      <c r="J1189" t="s">
        <v>1478</v>
      </c>
      <c r="K1189" t="s">
        <v>1479</v>
      </c>
      <c r="L1189">
        <v>3</v>
      </c>
      <c r="M1189" t="s">
        <v>12</v>
      </c>
      <c r="N1189">
        <v>7</v>
      </c>
      <c r="O1189" t="s">
        <v>13</v>
      </c>
      <c r="P1189">
        <v>27</v>
      </c>
      <c r="Q1189" s="4">
        <v>45820</v>
      </c>
      <c r="R1189" s="4"/>
      <c r="S1189" t="str">
        <f>TEXT(Table1[[#This Row],[Hiring Date]],"mmmm")</f>
        <v>June</v>
      </c>
      <c r="T1189" s="1">
        <f>COUNTIF(S:S,Table1[[#This Row],[Months List]])</f>
        <v>0</v>
      </c>
      <c r="U1189" t="str">
        <f>TEXT(Table1[[#This Row],[Hiring Date]],"dddd")</f>
        <v>Thursday</v>
      </c>
      <c r="V1189" s="1" t="str">
        <f>TEXT(Table1[[#This Row],[Hiring Date]],"yyyy")</f>
        <v>2025</v>
      </c>
    </row>
    <row r="1190" spans="1:22">
      <c r="A1190" t="s">
        <v>755</v>
      </c>
      <c r="B1190">
        <v>41</v>
      </c>
      <c r="C1190">
        <v>549</v>
      </c>
      <c r="D1190" t="s">
        <v>14</v>
      </c>
      <c r="E1190" t="s">
        <v>1495</v>
      </c>
      <c r="F1190" t="s">
        <v>1499</v>
      </c>
      <c r="G1190">
        <v>42</v>
      </c>
      <c r="H1190">
        <v>3</v>
      </c>
      <c r="I1190">
        <v>2</v>
      </c>
      <c r="J1190" t="s">
        <v>1480</v>
      </c>
      <c r="K1190" t="s">
        <v>1481</v>
      </c>
      <c r="L1190">
        <v>3</v>
      </c>
      <c r="M1190" t="s">
        <v>12</v>
      </c>
      <c r="N1190">
        <v>6</v>
      </c>
      <c r="O1190" t="s">
        <v>13</v>
      </c>
      <c r="P1190">
        <v>8</v>
      </c>
      <c r="Q1190" s="4">
        <v>45918</v>
      </c>
      <c r="R1190" s="4"/>
      <c r="S1190" t="str">
        <f>TEXT(Table1[[#This Row],[Hiring Date]],"mmmm")</f>
        <v>September</v>
      </c>
      <c r="T1190" s="1">
        <f>COUNTIF(S:S,Table1[[#This Row],[Months List]])</f>
        <v>0</v>
      </c>
      <c r="U1190" t="str">
        <f>TEXT(Table1[[#This Row],[Hiring Date]],"dddd")</f>
        <v>Thursday</v>
      </c>
      <c r="V1190" s="1" t="str">
        <f>TEXT(Table1[[#This Row],[Hiring Date]],"yyyy")</f>
        <v>2025</v>
      </c>
    </row>
    <row r="1191" spans="1:22">
      <c r="A1191" t="s">
        <v>756</v>
      </c>
      <c r="B1191">
        <v>39</v>
      </c>
      <c r="C1191">
        <v>466</v>
      </c>
      <c r="D1191" t="s">
        <v>14</v>
      </c>
      <c r="E1191" t="s">
        <v>1497</v>
      </c>
      <c r="F1191" t="s">
        <v>1499</v>
      </c>
      <c r="G1191">
        <v>65</v>
      </c>
      <c r="H1191">
        <v>2</v>
      </c>
      <c r="I1191">
        <v>4</v>
      </c>
      <c r="J1191" t="s">
        <v>1480</v>
      </c>
      <c r="K1191" t="s">
        <v>1481</v>
      </c>
      <c r="L1191">
        <v>4</v>
      </c>
      <c r="M1191" t="s">
        <v>15</v>
      </c>
      <c r="N1191">
        <v>1</v>
      </c>
      <c r="O1191" t="s">
        <v>13</v>
      </c>
      <c r="P1191">
        <v>21</v>
      </c>
      <c r="Q1191" s="4">
        <v>45775</v>
      </c>
      <c r="R1191" s="4"/>
      <c r="S1191" t="str">
        <f>TEXT(Table1[[#This Row],[Hiring Date]],"mmmm")</f>
        <v>April</v>
      </c>
      <c r="T1191" s="1">
        <f>COUNTIF(S:S,Table1[[#This Row],[Months List]])</f>
        <v>0</v>
      </c>
      <c r="U1191" t="str">
        <f>TEXT(Table1[[#This Row],[Hiring Date]],"dddd")</f>
        <v>Monday</v>
      </c>
      <c r="V1191" s="1" t="str">
        <f>TEXT(Table1[[#This Row],[Hiring Date]],"yyyy")</f>
        <v>2025</v>
      </c>
    </row>
    <row r="1192" spans="1:22">
      <c r="A1192" t="s">
        <v>82</v>
      </c>
      <c r="B1192">
        <v>36</v>
      </c>
      <c r="C1192">
        <v>1223</v>
      </c>
      <c r="D1192" t="s">
        <v>14</v>
      </c>
      <c r="E1192" t="s">
        <v>1501</v>
      </c>
      <c r="F1192" t="s">
        <v>1499</v>
      </c>
      <c r="G1192">
        <v>59</v>
      </c>
      <c r="H1192">
        <v>3</v>
      </c>
      <c r="I1192">
        <v>3</v>
      </c>
      <c r="J1192" t="s">
        <v>1478</v>
      </c>
      <c r="K1192" t="s">
        <v>1479</v>
      </c>
      <c r="L1192">
        <v>3</v>
      </c>
      <c r="M1192" t="s">
        <v>16</v>
      </c>
      <c r="N1192">
        <v>1</v>
      </c>
      <c r="O1192" t="s">
        <v>13</v>
      </c>
      <c r="P1192">
        <v>17</v>
      </c>
      <c r="Q1192" s="4">
        <v>45881</v>
      </c>
      <c r="R1192" s="4"/>
      <c r="S1192" t="str">
        <f>TEXT(Table1[[#This Row],[Hiring Date]],"mmmm")</f>
        <v>August</v>
      </c>
      <c r="T1192" s="1">
        <f>COUNTIF(S:S,Table1[[#This Row],[Months List]])</f>
        <v>0</v>
      </c>
      <c r="U1192" t="str">
        <f>TEXT(Table1[[#This Row],[Hiring Date]],"dddd")</f>
        <v>Tuesday</v>
      </c>
      <c r="V1192" s="1" t="str">
        <f>TEXT(Table1[[#This Row],[Hiring Date]],"yyyy")</f>
        <v>2025</v>
      </c>
    </row>
    <row r="1193" spans="1:22">
      <c r="A1193" t="s">
        <v>757</v>
      </c>
      <c r="B1193">
        <v>27</v>
      </c>
      <c r="C1193">
        <v>1055</v>
      </c>
      <c r="D1193" t="s">
        <v>14</v>
      </c>
      <c r="E1193" t="s">
        <v>1497</v>
      </c>
      <c r="F1193" t="s">
        <v>1499</v>
      </c>
      <c r="G1193">
        <v>47</v>
      </c>
      <c r="H1193">
        <v>3</v>
      </c>
      <c r="I1193">
        <v>2</v>
      </c>
      <c r="J1193" t="s">
        <v>1480</v>
      </c>
      <c r="K1193" t="s">
        <v>1481</v>
      </c>
      <c r="L1193">
        <v>4</v>
      </c>
      <c r="M1193" t="s">
        <v>15</v>
      </c>
      <c r="N1193">
        <v>0</v>
      </c>
      <c r="O1193" t="s">
        <v>13</v>
      </c>
      <c r="P1193">
        <v>4</v>
      </c>
      <c r="Q1193" s="4">
        <v>45822</v>
      </c>
      <c r="R1193" s="4"/>
      <c r="S1193" t="str">
        <f>TEXT(Table1[[#This Row],[Hiring Date]],"mmmm")</f>
        <v>June</v>
      </c>
      <c r="T1193" s="1">
        <f>COUNTIF(S:S,Table1[[#This Row],[Months List]])</f>
        <v>0</v>
      </c>
      <c r="U1193" t="str">
        <f>TEXT(Table1[[#This Row],[Hiring Date]],"dddd")</f>
        <v>Saturday</v>
      </c>
      <c r="V1193" s="1" t="str">
        <f>TEXT(Table1[[#This Row],[Hiring Date]],"yyyy")</f>
        <v>2025</v>
      </c>
    </row>
    <row r="1194" spans="1:22">
      <c r="A1194" t="s">
        <v>758</v>
      </c>
      <c r="B1194">
        <v>35</v>
      </c>
      <c r="C1194">
        <v>802</v>
      </c>
      <c r="D1194" t="s">
        <v>14</v>
      </c>
      <c r="E1194" t="s">
        <v>1500</v>
      </c>
      <c r="F1194" t="s">
        <v>1496</v>
      </c>
      <c r="G1194">
        <v>45</v>
      </c>
      <c r="H1194">
        <v>3</v>
      </c>
      <c r="I1194">
        <v>1</v>
      </c>
      <c r="J1194" t="s">
        <v>1484</v>
      </c>
      <c r="K1194" t="s">
        <v>1485</v>
      </c>
      <c r="L1194">
        <v>4</v>
      </c>
      <c r="M1194" t="s">
        <v>16</v>
      </c>
      <c r="N1194">
        <v>1</v>
      </c>
      <c r="O1194" t="s">
        <v>13</v>
      </c>
      <c r="P1194">
        <v>3</v>
      </c>
      <c r="Q1194" s="4">
        <v>45846</v>
      </c>
      <c r="R1194" s="4"/>
      <c r="S1194" t="str">
        <f>TEXT(Table1[[#This Row],[Hiring Date]],"mmmm")</f>
        <v>July</v>
      </c>
      <c r="T1194" s="1">
        <f>COUNTIF(S:S,Table1[[#This Row],[Months List]])</f>
        <v>0</v>
      </c>
      <c r="U1194" t="str">
        <f>TEXT(Table1[[#This Row],[Hiring Date]],"dddd")</f>
        <v>Tuesday</v>
      </c>
      <c r="V1194" s="1" t="str">
        <f>TEXT(Table1[[#This Row],[Hiring Date]],"yyyy")</f>
        <v>2025</v>
      </c>
    </row>
    <row r="1195" spans="1:22">
      <c r="A1195" t="s">
        <v>759</v>
      </c>
      <c r="B1195">
        <v>42</v>
      </c>
      <c r="C1195">
        <v>265</v>
      </c>
      <c r="D1195" t="s">
        <v>11</v>
      </c>
      <c r="E1195" t="s">
        <v>1498</v>
      </c>
      <c r="F1195" t="s">
        <v>1496</v>
      </c>
      <c r="G1195">
        <v>90</v>
      </c>
      <c r="H1195">
        <v>3</v>
      </c>
      <c r="I1195">
        <v>5</v>
      </c>
      <c r="J1195" t="s">
        <v>1482</v>
      </c>
      <c r="K1195" t="s">
        <v>1483</v>
      </c>
      <c r="L1195">
        <v>3</v>
      </c>
      <c r="M1195" t="s">
        <v>15</v>
      </c>
      <c r="N1195">
        <v>6</v>
      </c>
      <c r="O1195" t="s">
        <v>13</v>
      </c>
      <c r="P1195">
        <v>21</v>
      </c>
      <c r="Q1195" s="4">
        <v>45887</v>
      </c>
      <c r="R1195" s="4"/>
      <c r="S1195" t="str">
        <f>TEXT(Table1[[#This Row],[Hiring Date]],"mmmm")</f>
        <v>August</v>
      </c>
      <c r="T1195" s="1">
        <f>COUNTIF(S:S,Table1[[#This Row],[Months List]])</f>
        <v>0</v>
      </c>
      <c r="U1195" t="str">
        <f>TEXT(Table1[[#This Row],[Hiring Date]],"dddd")</f>
        <v>Monday</v>
      </c>
      <c r="V1195" s="1" t="str">
        <f>TEXT(Table1[[#This Row],[Hiring Date]],"yyyy")</f>
        <v>2025</v>
      </c>
    </row>
    <row r="1196" spans="1:22">
      <c r="A1196" t="s">
        <v>760</v>
      </c>
      <c r="B1196">
        <v>50</v>
      </c>
      <c r="C1196">
        <v>804</v>
      </c>
      <c r="D1196" t="s">
        <v>14</v>
      </c>
      <c r="E1196" t="s">
        <v>1497</v>
      </c>
      <c r="F1196" t="s">
        <v>1496</v>
      </c>
      <c r="G1196">
        <v>64</v>
      </c>
      <c r="H1196">
        <v>3</v>
      </c>
      <c r="I1196">
        <v>1</v>
      </c>
      <c r="J1196" t="s">
        <v>1484</v>
      </c>
      <c r="K1196" t="s">
        <v>1485</v>
      </c>
      <c r="L1196">
        <v>4</v>
      </c>
      <c r="M1196" t="s">
        <v>15</v>
      </c>
      <c r="N1196">
        <v>4</v>
      </c>
      <c r="O1196" t="s">
        <v>13</v>
      </c>
      <c r="P1196">
        <v>8</v>
      </c>
      <c r="Q1196" s="4">
        <v>45639</v>
      </c>
      <c r="R1196" s="4"/>
      <c r="S1196" t="str">
        <f>TEXT(Table1[[#This Row],[Hiring Date]],"mmmm")</f>
        <v>December</v>
      </c>
      <c r="T1196" s="1">
        <f>COUNTIF(S:S,Table1[[#This Row],[Months List]])</f>
        <v>0</v>
      </c>
      <c r="U1196" t="str">
        <f>TEXT(Table1[[#This Row],[Hiring Date]],"dddd")</f>
        <v>Friday</v>
      </c>
      <c r="V1196" s="1" t="str">
        <f>TEXT(Table1[[#This Row],[Hiring Date]],"yyyy")</f>
        <v>2024</v>
      </c>
    </row>
    <row r="1197" spans="1:22">
      <c r="A1197" t="s">
        <v>761</v>
      </c>
      <c r="B1197">
        <v>59</v>
      </c>
      <c r="C1197">
        <v>715</v>
      </c>
      <c r="D1197" t="s">
        <v>14</v>
      </c>
      <c r="E1197" t="s">
        <v>1497</v>
      </c>
      <c r="F1197" t="s">
        <v>1499</v>
      </c>
      <c r="G1197">
        <v>69</v>
      </c>
      <c r="H1197">
        <v>2</v>
      </c>
      <c r="I1197">
        <v>4</v>
      </c>
      <c r="J1197" t="s">
        <v>1480</v>
      </c>
      <c r="K1197" t="s">
        <v>1481</v>
      </c>
      <c r="L1197">
        <v>4</v>
      </c>
      <c r="M1197" t="s">
        <v>12</v>
      </c>
      <c r="N1197">
        <v>3</v>
      </c>
      <c r="O1197" t="s">
        <v>10</v>
      </c>
      <c r="P1197">
        <v>30</v>
      </c>
      <c r="Q1197" s="4">
        <v>45813</v>
      </c>
      <c r="R1197" s="4"/>
      <c r="S1197" t="str">
        <f>TEXT(Table1[[#This Row],[Hiring Date]],"mmmm")</f>
        <v>June</v>
      </c>
      <c r="T1197" s="1">
        <f>COUNTIF(S:S,Table1[[#This Row],[Months List]])</f>
        <v>0</v>
      </c>
      <c r="U1197" t="str">
        <f>TEXT(Table1[[#This Row],[Hiring Date]],"dddd")</f>
        <v>Thursday</v>
      </c>
      <c r="V1197" s="1" t="str">
        <f>TEXT(Table1[[#This Row],[Hiring Date]],"yyyy")</f>
        <v>2025</v>
      </c>
    </row>
    <row r="1198" spans="1:22">
      <c r="A1198" t="s">
        <v>762</v>
      </c>
      <c r="B1198">
        <v>37</v>
      </c>
      <c r="C1198">
        <v>1141</v>
      </c>
      <c r="D1198" t="s">
        <v>14</v>
      </c>
      <c r="E1198" t="s">
        <v>1495</v>
      </c>
      <c r="F1198" t="s">
        <v>1499</v>
      </c>
      <c r="G1198">
        <v>61</v>
      </c>
      <c r="H1198">
        <v>1</v>
      </c>
      <c r="I1198">
        <v>2</v>
      </c>
      <c r="J1198" t="s">
        <v>1478</v>
      </c>
      <c r="K1198" t="s">
        <v>1479</v>
      </c>
      <c r="L1198">
        <v>2</v>
      </c>
      <c r="M1198" t="s">
        <v>15</v>
      </c>
      <c r="N1198">
        <v>5</v>
      </c>
      <c r="O1198" t="s">
        <v>13</v>
      </c>
      <c r="P1198">
        <v>15</v>
      </c>
      <c r="Q1198" s="4">
        <v>45901</v>
      </c>
      <c r="R1198" s="4"/>
      <c r="S1198" t="str">
        <f>TEXT(Table1[[#This Row],[Hiring Date]],"mmmm")</f>
        <v>September</v>
      </c>
      <c r="T1198" s="1">
        <f>COUNTIF(S:S,Table1[[#This Row],[Months List]])</f>
        <v>0</v>
      </c>
      <c r="U1198" t="str">
        <f>TEXT(Table1[[#This Row],[Hiring Date]],"dddd")</f>
        <v>Monday</v>
      </c>
      <c r="V1198" s="1" t="str">
        <f>TEXT(Table1[[#This Row],[Hiring Date]],"yyyy")</f>
        <v>2025</v>
      </c>
    </row>
    <row r="1199" spans="1:22">
      <c r="A1199" t="s">
        <v>763</v>
      </c>
      <c r="B1199">
        <v>55</v>
      </c>
      <c r="C1199">
        <v>135</v>
      </c>
      <c r="D1199" t="s">
        <v>14</v>
      </c>
      <c r="E1199" t="s">
        <v>1495</v>
      </c>
      <c r="F1199" t="s">
        <v>1496</v>
      </c>
      <c r="G1199">
        <v>62</v>
      </c>
      <c r="H1199">
        <v>3</v>
      </c>
      <c r="I1199">
        <v>2</v>
      </c>
      <c r="J1199" t="s">
        <v>1478</v>
      </c>
      <c r="K1199" t="s">
        <v>1479</v>
      </c>
      <c r="L1199">
        <v>2</v>
      </c>
      <c r="M1199" t="s">
        <v>15</v>
      </c>
      <c r="N1199">
        <v>3</v>
      </c>
      <c r="O1199" t="s">
        <v>10</v>
      </c>
      <c r="P1199">
        <v>17</v>
      </c>
      <c r="Q1199" s="4">
        <v>45972</v>
      </c>
      <c r="R1199" s="4"/>
      <c r="S1199" t="str">
        <f>TEXT(Table1[[#This Row],[Hiring Date]],"mmmm")</f>
        <v>November</v>
      </c>
      <c r="T1199" s="1">
        <f>COUNTIF(S:S,Table1[[#This Row],[Months List]])</f>
        <v>0</v>
      </c>
      <c r="U1199" t="str">
        <f>TEXT(Table1[[#This Row],[Hiring Date]],"dddd")</f>
        <v>Tuesday</v>
      </c>
      <c r="V1199" s="1" t="str">
        <f>TEXT(Table1[[#This Row],[Hiring Date]],"yyyy")</f>
        <v>2025</v>
      </c>
    </row>
    <row r="1200" spans="1:22">
      <c r="A1200" t="s">
        <v>764</v>
      </c>
      <c r="B1200">
        <v>41</v>
      </c>
      <c r="C1200">
        <v>247</v>
      </c>
      <c r="D1200" t="s">
        <v>14</v>
      </c>
      <c r="E1200" t="s">
        <v>1497</v>
      </c>
      <c r="F1200" t="s">
        <v>1499</v>
      </c>
      <c r="G1200">
        <v>55</v>
      </c>
      <c r="H1200">
        <v>1</v>
      </c>
      <c r="I1200">
        <v>5</v>
      </c>
      <c r="J1200" t="s">
        <v>1487</v>
      </c>
      <c r="K1200" t="s">
        <v>1488</v>
      </c>
      <c r="L1200">
        <v>3</v>
      </c>
      <c r="M1200" t="s">
        <v>16</v>
      </c>
      <c r="N1200">
        <v>1</v>
      </c>
      <c r="O1200" t="s">
        <v>13</v>
      </c>
      <c r="P1200">
        <v>21</v>
      </c>
      <c r="Q1200" s="4">
        <v>45960</v>
      </c>
      <c r="R1200" s="4"/>
      <c r="S1200" t="str">
        <f>TEXT(Table1[[#This Row],[Hiring Date]],"mmmm")</f>
        <v>October</v>
      </c>
      <c r="T1200" s="1">
        <f>COUNTIF(S:S,Table1[[#This Row],[Months List]])</f>
        <v>0</v>
      </c>
      <c r="U1200" t="str">
        <f>TEXT(Table1[[#This Row],[Hiring Date]],"dddd")</f>
        <v>Thursday</v>
      </c>
      <c r="V1200" s="1" t="str">
        <f>TEXT(Table1[[#This Row],[Hiring Date]],"yyyy")</f>
        <v>2025</v>
      </c>
    </row>
    <row r="1201" spans="1:22">
      <c r="A1201" t="s">
        <v>765</v>
      </c>
      <c r="B1201">
        <v>38</v>
      </c>
      <c r="C1201">
        <v>1035</v>
      </c>
      <c r="D1201" t="s">
        <v>11</v>
      </c>
      <c r="E1201" t="s">
        <v>1497</v>
      </c>
      <c r="F1201" t="s">
        <v>1496</v>
      </c>
      <c r="G1201">
        <v>42</v>
      </c>
      <c r="H1201">
        <v>3</v>
      </c>
      <c r="I1201">
        <v>2</v>
      </c>
      <c r="J1201" t="s">
        <v>1474</v>
      </c>
      <c r="K1201" t="s">
        <v>1475</v>
      </c>
      <c r="L1201">
        <v>4</v>
      </c>
      <c r="M1201" t="s">
        <v>12</v>
      </c>
      <c r="N1201">
        <v>8</v>
      </c>
      <c r="O1201" t="s">
        <v>10</v>
      </c>
      <c r="P1201">
        <v>19</v>
      </c>
      <c r="Q1201" s="4">
        <v>45956</v>
      </c>
      <c r="R1201" s="4"/>
      <c r="S1201" t="str">
        <f>TEXT(Table1[[#This Row],[Hiring Date]],"mmmm")</f>
        <v>October</v>
      </c>
      <c r="T1201" s="1">
        <f>COUNTIF(S:S,Table1[[#This Row],[Months List]])</f>
        <v>0</v>
      </c>
      <c r="U1201" t="str">
        <f>TEXT(Table1[[#This Row],[Hiring Date]],"dddd")</f>
        <v>Sunday</v>
      </c>
      <c r="V1201" s="1" t="str">
        <f>TEXT(Table1[[#This Row],[Hiring Date]],"yyyy")</f>
        <v>2025</v>
      </c>
    </row>
    <row r="1202" spans="1:22">
      <c r="A1202" t="s">
        <v>766</v>
      </c>
      <c r="B1202">
        <v>26</v>
      </c>
      <c r="C1202">
        <v>265</v>
      </c>
      <c r="D1202" t="s">
        <v>11</v>
      </c>
      <c r="E1202" t="s">
        <v>1495</v>
      </c>
      <c r="F1202" t="s">
        <v>1496</v>
      </c>
      <c r="G1202">
        <v>79</v>
      </c>
      <c r="H1202">
        <v>1</v>
      </c>
      <c r="I1202">
        <v>2</v>
      </c>
      <c r="J1202" t="s">
        <v>1474</v>
      </c>
      <c r="K1202" t="s">
        <v>1475</v>
      </c>
      <c r="L1202">
        <v>1</v>
      </c>
      <c r="M1202" t="s">
        <v>12</v>
      </c>
      <c r="N1202">
        <v>8</v>
      </c>
      <c r="O1202" t="s">
        <v>13</v>
      </c>
      <c r="P1202">
        <v>7</v>
      </c>
      <c r="Q1202" s="4">
        <v>45943</v>
      </c>
      <c r="R1202" s="4"/>
      <c r="S1202" t="str">
        <f>TEXT(Table1[[#This Row],[Hiring Date]],"mmmm")</f>
        <v>October</v>
      </c>
      <c r="T1202" s="1">
        <f>COUNTIF(S:S,Table1[[#This Row],[Months List]])</f>
        <v>0</v>
      </c>
      <c r="U1202" t="str">
        <f>TEXT(Table1[[#This Row],[Hiring Date]],"dddd")</f>
        <v>Monday</v>
      </c>
      <c r="V1202" s="1" t="str">
        <f>TEXT(Table1[[#This Row],[Hiring Date]],"yyyy")</f>
        <v>2025</v>
      </c>
    </row>
    <row r="1203" spans="1:22">
      <c r="A1203" t="s">
        <v>83</v>
      </c>
      <c r="B1203">
        <v>55</v>
      </c>
      <c r="C1203">
        <v>836</v>
      </c>
      <c r="D1203" t="s">
        <v>14</v>
      </c>
      <c r="E1203" t="s">
        <v>1495</v>
      </c>
      <c r="F1203" t="s">
        <v>1499</v>
      </c>
      <c r="G1203">
        <v>33</v>
      </c>
      <c r="H1203">
        <v>3</v>
      </c>
      <c r="I1203">
        <v>4</v>
      </c>
      <c r="J1203" t="s">
        <v>1482</v>
      </c>
      <c r="K1203" t="s">
        <v>1483</v>
      </c>
      <c r="L1203">
        <v>3</v>
      </c>
      <c r="M1203" t="s">
        <v>16</v>
      </c>
      <c r="N1203">
        <v>2</v>
      </c>
      <c r="O1203" t="s">
        <v>10</v>
      </c>
      <c r="P1203">
        <v>21</v>
      </c>
      <c r="Q1203" s="4">
        <v>45680</v>
      </c>
      <c r="R1203" s="4"/>
      <c r="S1203" t="str">
        <f>TEXT(Table1[[#This Row],[Hiring Date]],"mmmm")</f>
        <v>January</v>
      </c>
      <c r="T1203" s="1">
        <f>COUNTIF(S:S,Table1[[#This Row],[Months List]])</f>
        <v>0</v>
      </c>
      <c r="U1203" t="str">
        <f>TEXT(Table1[[#This Row],[Hiring Date]],"dddd")</f>
        <v>Thursday</v>
      </c>
      <c r="V1203" s="1" t="str">
        <f>TEXT(Table1[[#This Row],[Hiring Date]],"yyyy")</f>
        <v>2025</v>
      </c>
    </row>
    <row r="1204" spans="1:22">
      <c r="A1204" t="s">
        <v>767</v>
      </c>
      <c r="B1204">
        <v>52</v>
      </c>
      <c r="C1204">
        <v>266</v>
      </c>
      <c r="D1204" t="s">
        <v>11</v>
      </c>
      <c r="E1204" t="s">
        <v>1498</v>
      </c>
      <c r="F1204" t="s">
        <v>1499</v>
      </c>
      <c r="G1204">
        <v>57</v>
      </c>
      <c r="H1204">
        <v>1</v>
      </c>
      <c r="I1204">
        <v>5</v>
      </c>
      <c r="J1204" t="s">
        <v>1482</v>
      </c>
      <c r="K1204" t="s">
        <v>1483</v>
      </c>
      <c r="L1204">
        <v>4</v>
      </c>
      <c r="M1204" t="s">
        <v>15</v>
      </c>
      <c r="N1204">
        <v>1</v>
      </c>
      <c r="O1204" t="s">
        <v>13</v>
      </c>
      <c r="P1204">
        <v>33</v>
      </c>
      <c r="Q1204" s="4">
        <v>45771</v>
      </c>
      <c r="R1204" s="4"/>
      <c r="S1204" t="str">
        <f>TEXT(Table1[[#This Row],[Hiring Date]],"mmmm")</f>
        <v>April</v>
      </c>
      <c r="T1204" s="1">
        <f>COUNTIF(S:S,Table1[[#This Row],[Months List]])</f>
        <v>0</v>
      </c>
      <c r="U1204" t="str">
        <f>TEXT(Table1[[#This Row],[Hiring Date]],"dddd")</f>
        <v>Thursday</v>
      </c>
      <c r="V1204" s="1" t="str">
        <f>TEXT(Table1[[#This Row],[Hiring Date]],"yyyy")</f>
        <v>2025</v>
      </c>
    </row>
    <row r="1205" spans="1:22">
      <c r="A1205" t="s">
        <v>768</v>
      </c>
      <c r="B1205">
        <v>44</v>
      </c>
      <c r="C1205">
        <v>1448</v>
      </c>
      <c r="D1205" t="s">
        <v>11</v>
      </c>
      <c r="E1205" t="s">
        <v>1495</v>
      </c>
      <c r="F1205" t="s">
        <v>1499</v>
      </c>
      <c r="G1205">
        <v>53</v>
      </c>
      <c r="H1205">
        <v>4</v>
      </c>
      <c r="I1205">
        <v>4</v>
      </c>
      <c r="J1205" t="s">
        <v>1474</v>
      </c>
      <c r="K1205" t="s">
        <v>1475</v>
      </c>
      <c r="L1205">
        <v>4</v>
      </c>
      <c r="M1205" t="s">
        <v>15</v>
      </c>
      <c r="N1205">
        <v>3</v>
      </c>
      <c r="O1205" t="s">
        <v>10</v>
      </c>
      <c r="P1205">
        <v>23</v>
      </c>
      <c r="Q1205" s="4">
        <v>45645</v>
      </c>
      <c r="R1205" s="4"/>
      <c r="S1205" t="str">
        <f>TEXT(Table1[[#This Row],[Hiring Date]],"mmmm")</f>
        <v>December</v>
      </c>
      <c r="T1205" s="1">
        <f>COUNTIF(S:S,Table1[[#This Row],[Months List]])</f>
        <v>0</v>
      </c>
      <c r="U1205" t="str">
        <f>TEXT(Table1[[#This Row],[Hiring Date]],"dddd")</f>
        <v>Thursday</v>
      </c>
      <c r="V1205" s="1" t="str">
        <f>TEXT(Table1[[#This Row],[Hiring Date]],"yyyy")</f>
        <v>2024</v>
      </c>
    </row>
    <row r="1206" spans="1:22">
      <c r="A1206" t="s">
        <v>769</v>
      </c>
      <c r="B1206">
        <v>50</v>
      </c>
      <c r="C1206">
        <v>145</v>
      </c>
      <c r="D1206" t="s">
        <v>11</v>
      </c>
      <c r="E1206" t="s">
        <v>1497</v>
      </c>
      <c r="F1206" t="s">
        <v>1499</v>
      </c>
      <c r="G1206">
        <v>95</v>
      </c>
      <c r="H1206">
        <v>3</v>
      </c>
      <c r="I1206">
        <v>2</v>
      </c>
      <c r="J1206" t="s">
        <v>1474</v>
      </c>
      <c r="K1206" t="s">
        <v>1475</v>
      </c>
      <c r="L1206">
        <v>3</v>
      </c>
      <c r="M1206" t="s">
        <v>15</v>
      </c>
      <c r="N1206">
        <v>0</v>
      </c>
      <c r="O1206" t="s">
        <v>13</v>
      </c>
      <c r="P1206">
        <v>19</v>
      </c>
      <c r="Q1206" s="4">
        <v>45817</v>
      </c>
      <c r="R1206" s="4"/>
      <c r="S1206" t="str">
        <f>TEXT(Table1[[#This Row],[Hiring Date]],"mmmm")</f>
        <v>June</v>
      </c>
      <c r="T1206" s="1">
        <f>COUNTIF(S:S,Table1[[#This Row],[Months List]])</f>
        <v>0</v>
      </c>
      <c r="U1206" t="str">
        <f>TEXT(Table1[[#This Row],[Hiring Date]],"dddd")</f>
        <v>Monday</v>
      </c>
      <c r="V1206" s="1" t="str">
        <f>TEXT(Table1[[#This Row],[Hiring Date]],"yyyy")</f>
        <v>2025</v>
      </c>
    </row>
    <row r="1207" spans="1:22">
      <c r="A1207" t="s">
        <v>770</v>
      </c>
      <c r="B1207">
        <v>36</v>
      </c>
      <c r="C1207">
        <v>885</v>
      </c>
      <c r="D1207" t="s">
        <v>14</v>
      </c>
      <c r="E1207" t="s">
        <v>1497</v>
      </c>
      <c r="F1207" t="s">
        <v>1499</v>
      </c>
      <c r="G1207">
        <v>43</v>
      </c>
      <c r="H1207">
        <v>4</v>
      </c>
      <c r="I1207">
        <v>1</v>
      </c>
      <c r="J1207" t="s">
        <v>1484</v>
      </c>
      <c r="K1207" t="s">
        <v>1485</v>
      </c>
      <c r="L1207">
        <v>1</v>
      </c>
      <c r="M1207" t="s">
        <v>12</v>
      </c>
      <c r="N1207">
        <v>1</v>
      </c>
      <c r="O1207" t="s">
        <v>13</v>
      </c>
      <c r="P1207">
        <v>18</v>
      </c>
      <c r="Q1207" s="4">
        <v>45835</v>
      </c>
      <c r="R1207" s="4"/>
      <c r="S1207" t="str">
        <f>TEXT(Table1[[#This Row],[Hiring Date]],"mmmm")</f>
        <v>June</v>
      </c>
      <c r="T1207" s="1">
        <f>COUNTIF(S:S,Table1[[#This Row],[Months List]])</f>
        <v>0</v>
      </c>
      <c r="U1207" t="str">
        <f>TEXT(Table1[[#This Row],[Hiring Date]],"dddd")</f>
        <v>Friday</v>
      </c>
      <c r="V1207" s="1" t="str">
        <f>TEXT(Table1[[#This Row],[Hiring Date]],"yyyy")</f>
        <v>2025</v>
      </c>
    </row>
    <row r="1208" spans="1:22">
      <c r="A1208" t="s">
        <v>771</v>
      </c>
      <c r="B1208">
        <v>39</v>
      </c>
      <c r="C1208">
        <v>945</v>
      </c>
      <c r="D1208" t="s">
        <v>14</v>
      </c>
      <c r="E1208" t="s">
        <v>1495</v>
      </c>
      <c r="F1208" t="s">
        <v>1499</v>
      </c>
      <c r="G1208">
        <v>82</v>
      </c>
      <c r="H1208">
        <v>3</v>
      </c>
      <c r="I1208">
        <v>3</v>
      </c>
      <c r="J1208" t="s">
        <v>1480</v>
      </c>
      <c r="K1208" t="s">
        <v>1481</v>
      </c>
      <c r="L1208">
        <v>1</v>
      </c>
      <c r="M1208" t="s">
        <v>12</v>
      </c>
      <c r="N1208">
        <v>1</v>
      </c>
      <c r="O1208" t="s">
        <v>10</v>
      </c>
      <c r="P1208">
        <v>21</v>
      </c>
      <c r="Q1208" s="4">
        <v>45739</v>
      </c>
      <c r="R1208" s="4"/>
      <c r="S1208" t="str">
        <f>TEXT(Table1[[#This Row],[Hiring Date]],"mmmm")</f>
        <v>March</v>
      </c>
      <c r="T1208" s="1">
        <f>COUNTIF(S:S,Table1[[#This Row],[Months List]])</f>
        <v>0</v>
      </c>
      <c r="U1208" t="str">
        <f>TEXT(Table1[[#This Row],[Hiring Date]],"dddd")</f>
        <v>Sunday</v>
      </c>
      <c r="V1208" s="1" t="str">
        <f>TEXT(Table1[[#This Row],[Hiring Date]],"yyyy")</f>
        <v>2025</v>
      </c>
    </row>
    <row r="1209" spans="1:22">
      <c r="A1209" t="s">
        <v>772</v>
      </c>
      <c r="B1209">
        <v>33</v>
      </c>
      <c r="C1209">
        <v>1038</v>
      </c>
      <c r="D1209" t="s">
        <v>11</v>
      </c>
      <c r="E1209" t="s">
        <v>1497</v>
      </c>
      <c r="F1209" t="s">
        <v>1499</v>
      </c>
      <c r="G1209">
        <v>88</v>
      </c>
      <c r="H1209">
        <v>2</v>
      </c>
      <c r="I1209">
        <v>1</v>
      </c>
      <c r="J1209" t="s">
        <v>1489</v>
      </c>
      <c r="K1209" t="s">
        <v>1490</v>
      </c>
      <c r="L1209">
        <v>4</v>
      </c>
      <c r="M1209" t="s">
        <v>12</v>
      </c>
      <c r="N1209">
        <v>0</v>
      </c>
      <c r="O1209" t="s">
        <v>13</v>
      </c>
      <c r="P1209">
        <v>3</v>
      </c>
      <c r="Q1209" s="4">
        <v>45836</v>
      </c>
      <c r="R1209" s="4"/>
      <c r="S1209" t="str">
        <f>TEXT(Table1[[#This Row],[Hiring Date]],"mmmm")</f>
        <v>June</v>
      </c>
      <c r="T1209" s="1">
        <f>COUNTIF(S:S,Table1[[#This Row],[Months List]])</f>
        <v>0</v>
      </c>
      <c r="U1209" t="str">
        <f>TEXT(Table1[[#This Row],[Hiring Date]],"dddd")</f>
        <v>Saturday</v>
      </c>
      <c r="V1209" s="1" t="str">
        <f>TEXT(Table1[[#This Row],[Hiring Date]],"yyyy")</f>
        <v>2025</v>
      </c>
    </row>
    <row r="1210" spans="1:22">
      <c r="A1210" t="s">
        <v>773</v>
      </c>
      <c r="B1210">
        <v>45</v>
      </c>
      <c r="C1210">
        <v>1234</v>
      </c>
      <c r="D1210" t="s">
        <v>11</v>
      </c>
      <c r="E1210" t="s">
        <v>1497</v>
      </c>
      <c r="F1210" t="s">
        <v>1499</v>
      </c>
      <c r="G1210">
        <v>90</v>
      </c>
      <c r="H1210">
        <v>3</v>
      </c>
      <c r="I1210">
        <v>4</v>
      </c>
      <c r="J1210" t="s">
        <v>1482</v>
      </c>
      <c r="K1210" t="s">
        <v>1483</v>
      </c>
      <c r="L1210">
        <v>4</v>
      </c>
      <c r="M1210" t="s">
        <v>15</v>
      </c>
      <c r="N1210">
        <v>3</v>
      </c>
      <c r="O1210" t="s">
        <v>13</v>
      </c>
      <c r="P1210">
        <v>26</v>
      </c>
      <c r="Q1210" s="4">
        <v>45898</v>
      </c>
      <c r="R1210" s="4"/>
      <c r="S1210" t="str">
        <f>TEXT(Table1[[#This Row],[Hiring Date]],"mmmm")</f>
        <v>August</v>
      </c>
      <c r="T1210" s="1">
        <f>COUNTIF(S:S,Table1[[#This Row],[Months List]])</f>
        <v>0</v>
      </c>
      <c r="U1210" t="str">
        <f>TEXT(Table1[[#This Row],[Hiring Date]],"dddd")</f>
        <v>Friday</v>
      </c>
      <c r="V1210" s="1" t="str">
        <f>TEXT(Table1[[#This Row],[Hiring Date]],"yyyy")</f>
        <v>2025</v>
      </c>
    </row>
    <row r="1211" spans="1:22">
      <c r="A1211" t="s">
        <v>774</v>
      </c>
      <c r="B1211">
        <v>32</v>
      </c>
      <c r="C1211">
        <v>1109</v>
      </c>
      <c r="D1211" t="s">
        <v>14</v>
      </c>
      <c r="E1211" t="s">
        <v>1495</v>
      </c>
      <c r="F1211" t="s">
        <v>1499</v>
      </c>
      <c r="G1211">
        <v>69</v>
      </c>
      <c r="H1211">
        <v>3</v>
      </c>
      <c r="I1211">
        <v>1</v>
      </c>
      <c r="J1211" t="s">
        <v>1484</v>
      </c>
      <c r="K1211" t="s">
        <v>1485</v>
      </c>
      <c r="L1211">
        <v>3</v>
      </c>
      <c r="M1211" t="s">
        <v>12</v>
      </c>
      <c r="N1211">
        <v>9</v>
      </c>
      <c r="O1211" t="s">
        <v>13</v>
      </c>
      <c r="P1211">
        <v>10</v>
      </c>
      <c r="Q1211" s="4">
        <v>45943</v>
      </c>
      <c r="R1211" s="4"/>
      <c r="S1211" t="str">
        <f>TEXT(Table1[[#This Row],[Hiring Date]],"mmmm")</f>
        <v>October</v>
      </c>
      <c r="T1211" s="1">
        <f>COUNTIF(S:S,Table1[[#This Row],[Months List]])</f>
        <v>0</v>
      </c>
      <c r="U1211" t="str">
        <f>TEXT(Table1[[#This Row],[Hiring Date]],"dddd")</f>
        <v>Monday</v>
      </c>
      <c r="V1211" s="1" t="str">
        <f>TEXT(Table1[[#This Row],[Hiring Date]],"yyyy")</f>
        <v>2025</v>
      </c>
    </row>
    <row r="1212" spans="1:22">
      <c r="A1212" t="s">
        <v>775</v>
      </c>
      <c r="B1212">
        <v>34</v>
      </c>
      <c r="C1212">
        <v>216</v>
      </c>
      <c r="D1212" t="s">
        <v>11</v>
      </c>
      <c r="E1212" t="s">
        <v>1498</v>
      </c>
      <c r="F1212" t="s">
        <v>1496</v>
      </c>
      <c r="G1212">
        <v>75</v>
      </c>
      <c r="H1212">
        <v>4</v>
      </c>
      <c r="I1212">
        <v>2</v>
      </c>
      <c r="J1212" t="s">
        <v>1474</v>
      </c>
      <c r="K1212" t="s">
        <v>1475</v>
      </c>
      <c r="L1212">
        <v>4</v>
      </c>
      <c r="M1212" t="s">
        <v>16</v>
      </c>
      <c r="N1212">
        <v>0</v>
      </c>
      <c r="O1212" t="s">
        <v>13</v>
      </c>
      <c r="P1212">
        <v>16</v>
      </c>
      <c r="Q1212" s="4">
        <v>45642</v>
      </c>
      <c r="R1212" s="4"/>
      <c r="S1212" t="str">
        <f>TEXT(Table1[[#This Row],[Hiring Date]],"mmmm")</f>
        <v>December</v>
      </c>
      <c r="T1212" s="1">
        <f>COUNTIF(S:S,Table1[[#This Row],[Months List]])</f>
        <v>0</v>
      </c>
      <c r="U1212" t="str">
        <f>TEXT(Table1[[#This Row],[Hiring Date]],"dddd")</f>
        <v>Monday</v>
      </c>
      <c r="V1212" s="1" t="str">
        <f>TEXT(Table1[[#This Row],[Hiring Date]],"yyyy")</f>
        <v>2024</v>
      </c>
    </row>
    <row r="1213" spans="1:22">
      <c r="A1213" t="s">
        <v>776</v>
      </c>
      <c r="B1213">
        <v>59</v>
      </c>
      <c r="C1213">
        <v>1089</v>
      </c>
      <c r="D1213" t="s">
        <v>11</v>
      </c>
      <c r="E1213" t="s">
        <v>1501</v>
      </c>
      <c r="F1213" t="s">
        <v>1496</v>
      </c>
      <c r="G1213">
        <v>66</v>
      </c>
      <c r="H1213">
        <v>3</v>
      </c>
      <c r="I1213">
        <v>3</v>
      </c>
      <c r="J1213" t="s">
        <v>1482</v>
      </c>
      <c r="K1213" t="s">
        <v>1483</v>
      </c>
      <c r="L1213">
        <v>4</v>
      </c>
      <c r="M1213" t="s">
        <v>15</v>
      </c>
      <c r="N1213">
        <v>3</v>
      </c>
      <c r="O1213" t="s">
        <v>10</v>
      </c>
      <c r="P1213">
        <v>14</v>
      </c>
      <c r="Q1213" s="4">
        <v>45919</v>
      </c>
      <c r="R1213" s="4"/>
      <c r="S1213" t="str">
        <f>TEXT(Table1[[#This Row],[Hiring Date]],"mmmm")</f>
        <v>September</v>
      </c>
      <c r="T1213" s="1">
        <f>COUNTIF(S:S,Table1[[#This Row],[Months List]])</f>
        <v>0</v>
      </c>
      <c r="U1213" t="str">
        <f>TEXT(Table1[[#This Row],[Hiring Date]],"dddd")</f>
        <v>Friday</v>
      </c>
      <c r="V1213" s="1" t="str">
        <f>TEXT(Table1[[#This Row],[Hiring Date]],"yyyy")</f>
        <v>2025</v>
      </c>
    </row>
    <row r="1214" spans="1:22">
      <c r="A1214" t="s">
        <v>84</v>
      </c>
      <c r="B1214">
        <v>36</v>
      </c>
      <c r="C1214">
        <v>1195</v>
      </c>
      <c r="D1214" t="s">
        <v>14</v>
      </c>
      <c r="E1214" t="s">
        <v>1497</v>
      </c>
      <c r="F1214" t="s">
        <v>1496</v>
      </c>
      <c r="G1214">
        <v>95</v>
      </c>
      <c r="H1214">
        <v>2</v>
      </c>
      <c r="I1214">
        <v>2</v>
      </c>
      <c r="J1214" t="s">
        <v>1480</v>
      </c>
      <c r="K1214" t="s">
        <v>1481</v>
      </c>
      <c r="L1214">
        <v>2</v>
      </c>
      <c r="M1214" t="s">
        <v>12</v>
      </c>
      <c r="N1214">
        <v>1</v>
      </c>
      <c r="O1214" t="s">
        <v>13</v>
      </c>
      <c r="P1214">
        <v>6</v>
      </c>
      <c r="Q1214" s="4">
        <v>45846</v>
      </c>
      <c r="R1214" s="4"/>
      <c r="S1214" t="str">
        <f>TEXT(Table1[[#This Row],[Hiring Date]],"mmmm")</f>
        <v>July</v>
      </c>
      <c r="T1214" s="1">
        <f>COUNTIF(S:S,Table1[[#This Row],[Months List]])</f>
        <v>0</v>
      </c>
      <c r="U1214" t="str">
        <f>TEXT(Table1[[#This Row],[Hiring Date]],"dddd")</f>
        <v>Tuesday</v>
      </c>
      <c r="V1214" s="1" t="str">
        <f>TEXT(Table1[[#This Row],[Hiring Date]],"yyyy")</f>
        <v>2025</v>
      </c>
    </row>
    <row r="1215" spans="1:22">
      <c r="A1215" t="s">
        <v>777</v>
      </c>
      <c r="B1215">
        <v>45</v>
      </c>
      <c r="C1215">
        <v>788</v>
      </c>
      <c r="D1215" t="s">
        <v>17</v>
      </c>
      <c r="E1215" t="s">
        <v>1495</v>
      </c>
      <c r="F1215" t="s">
        <v>1496</v>
      </c>
      <c r="G1215">
        <v>36</v>
      </c>
      <c r="H1215">
        <v>3</v>
      </c>
      <c r="I1215">
        <v>1</v>
      </c>
      <c r="J1215" t="s">
        <v>1486</v>
      </c>
      <c r="K1215" t="s">
        <v>17</v>
      </c>
      <c r="L1215">
        <v>2</v>
      </c>
      <c r="M1215" t="s">
        <v>12</v>
      </c>
      <c r="N1215">
        <v>1</v>
      </c>
      <c r="O1215" t="s">
        <v>13</v>
      </c>
      <c r="P1215">
        <v>6</v>
      </c>
      <c r="Q1215" s="4">
        <v>45696</v>
      </c>
      <c r="R1215" s="4"/>
      <c r="S1215" t="str">
        <f>TEXT(Table1[[#This Row],[Hiring Date]],"mmmm")</f>
        <v>February</v>
      </c>
      <c r="T1215" s="1">
        <f>COUNTIF(S:S,Table1[[#This Row],[Months List]])</f>
        <v>0</v>
      </c>
      <c r="U1215" t="str">
        <f>TEXT(Table1[[#This Row],[Hiring Date]],"dddd")</f>
        <v>Saturday</v>
      </c>
      <c r="V1215" s="1" t="str">
        <f>TEXT(Table1[[#This Row],[Hiring Date]],"yyyy")</f>
        <v>2025</v>
      </c>
    </row>
    <row r="1216" spans="1:22">
      <c r="A1216" t="s">
        <v>778</v>
      </c>
      <c r="B1216">
        <v>53</v>
      </c>
      <c r="C1216">
        <v>124</v>
      </c>
      <c r="D1216" t="s">
        <v>11</v>
      </c>
      <c r="E1216" t="s">
        <v>1498</v>
      </c>
      <c r="F1216" t="s">
        <v>1499</v>
      </c>
      <c r="G1216">
        <v>38</v>
      </c>
      <c r="H1216">
        <v>2</v>
      </c>
      <c r="I1216">
        <v>3</v>
      </c>
      <c r="J1216" t="s">
        <v>1474</v>
      </c>
      <c r="K1216" t="s">
        <v>1475</v>
      </c>
      <c r="L1216">
        <v>2</v>
      </c>
      <c r="M1216" t="s">
        <v>15</v>
      </c>
      <c r="N1216">
        <v>2</v>
      </c>
      <c r="O1216" t="s">
        <v>13</v>
      </c>
      <c r="P1216">
        <v>30</v>
      </c>
      <c r="Q1216" s="4">
        <v>45797</v>
      </c>
      <c r="R1216" s="4"/>
      <c r="S1216" t="str">
        <f>TEXT(Table1[[#This Row],[Hiring Date]],"mmmm")</f>
        <v>May</v>
      </c>
      <c r="T1216" s="1">
        <f>COUNTIF(S:S,Table1[[#This Row],[Months List]])</f>
        <v>0</v>
      </c>
      <c r="U1216" t="str">
        <f>TEXT(Table1[[#This Row],[Hiring Date]],"dddd")</f>
        <v>Tuesday</v>
      </c>
      <c r="V1216" s="1" t="str">
        <f>TEXT(Table1[[#This Row],[Hiring Date]],"yyyy")</f>
        <v>2025</v>
      </c>
    </row>
    <row r="1217" spans="1:22">
      <c r="A1217" t="s">
        <v>779</v>
      </c>
      <c r="B1217">
        <v>36</v>
      </c>
      <c r="C1217">
        <v>660</v>
      </c>
      <c r="D1217" t="s">
        <v>14</v>
      </c>
      <c r="E1217" t="s">
        <v>1500</v>
      </c>
      <c r="F1217" t="s">
        <v>1496</v>
      </c>
      <c r="G1217">
        <v>81</v>
      </c>
      <c r="H1217">
        <v>3</v>
      </c>
      <c r="I1217">
        <v>2</v>
      </c>
      <c r="J1217" t="s">
        <v>1484</v>
      </c>
      <c r="K1217" t="s">
        <v>1485</v>
      </c>
      <c r="L1217">
        <v>3</v>
      </c>
      <c r="M1217" t="s">
        <v>16</v>
      </c>
      <c r="N1217">
        <v>7</v>
      </c>
      <c r="O1217" t="s">
        <v>13</v>
      </c>
      <c r="P1217">
        <v>9</v>
      </c>
      <c r="Q1217" s="4">
        <v>45954</v>
      </c>
      <c r="R1217" s="4"/>
      <c r="S1217" t="str">
        <f>TEXT(Table1[[#This Row],[Hiring Date]],"mmmm")</f>
        <v>October</v>
      </c>
      <c r="T1217" s="1">
        <f>COUNTIF(S:S,Table1[[#This Row],[Months List]])</f>
        <v>0</v>
      </c>
      <c r="U1217" t="str">
        <f>TEXT(Table1[[#This Row],[Hiring Date]],"dddd")</f>
        <v>Friday</v>
      </c>
      <c r="V1217" s="1" t="str">
        <f>TEXT(Table1[[#This Row],[Hiring Date]],"yyyy")</f>
        <v>2025</v>
      </c>
    </row>
    <row r="1218" spans="1:22">
      <c r="A1218" t="s">
        <v>780</v>
      </c>
      <c r="B1218">
        <v>26</v>
      </c>
      <c r="C1218">
        <v>342</v>
      </c>
      <c r="D1218" t="s">
        <v>14</v>
      </c>
      <c r="E1218" t="s">
        <v>1497</v>
      </c>
      <c r="F1218" t="s">
        <v>1496</v>
      </c>
      <c r="G1218">
        <v>57</v>
      </c>
      <c r="H1218">
        <v>3</v>
      </c>
      <c r="I1218">
        <v>1</v>
      </c>
      <c r="J1218" t="s">
        <v>1476</v>
      </c>
      <c r="K1218" t="s">
        <v>1477</v>
      </c>
      <c r="L1218">
        <v>1</v>
      </c>
      <c r="M1218" t="s">
        <v>15</v>
      </c>
      <c r="N1218">
        <v>6</v>
      </c>
      <c r="O1218" t="s">
        <v>10</v>
      </c>
      <c r="P1218">
        <v>6</v>
      </c>
      <c r="Q1218" s="4">
        <v>45724</v>
      </c>
      <c r="R1218" s="4"/>
      <c r="S1218" t="str">
        <f>TEXT(Table1[[#This Row],[Hiring Date]],"mmmm")</f>
        <v>March</v>
      </c>
      <c r="T1218" s="1">
        <f>COUNTIF(S:S,Table1[[#This Row],[Months List]])</f>
        <v>0</v>
      </c>
      <c r="U1218" t="str">
        <f>TEXT(Table1[[#This Row],[Hiring Date]],"dddd")</f>
        <v>Saturday</v>
      </c>
      <c r="V1218" s="1" t="str">
        <f>TEXT(Table1[[#This Row],[Hiring Date]],"yyyy")</f>
        <v>2025</v>
      </c>
    </row>
    <row r="1219" spans="1:22">
      <c r="A1219" t="s">
        <v>781</v>
      </c>
      <c r="B1219">
        <v>34</v>
      </c>
      <c r="C1219">
        <v>1333</v>
      </c>
      <c r="D1219" t="s">
        <v>11</v>
      </c>
      <c r="E1219" t="s">
        <v>1497</v>
      </c>
      <c r="F1219" t="s">
        <v>1499</v>
      </c>
      <c r="G1219">
        <v>87</v>
      </c>
      <c r="H1219">
        <v>3</v>
      </c>
      <c r="I1219">
        <v>1</v>
      </c>
      <c r="J1219" t="s">
        <v>1489</v>
      </c>
      <c r="K1219" t="s">
        <v>1490</v>
      </c>
      <c r="L1219">
        <v>3</v>
      </c>
      <c r="M1219" t="s">
        <v>15</v>
      </c>
      <c r="N1219">
        <v>1</v>
      </c>
      <c r="O1219" t="s">
        <v>10</v>
      </c>
      <c r="P1219">
        <v>1</v>
      </c>
      <c r="Q1219" s="4">
        <v>45668</v>
      </c>
      <c r="R1219" s="4"/>
      <c r="S1219" t="str">
        <f>TEXT(Table1[[#This Row],[Hiring Date]],"mmmm")</f>
        <v>January</v>
      </c>
      <c r="T1219" s="1">
        <f>COUNTIF(S:S,Table1[[#This Row],[Months List]])</f>
        <v>0</v>
      </c>
      <c r="U1219" t="str">
        <f>TEXT(Table1[[#This Row],[Hiring Date]],"dddd")</f>
        <v>Saturday</v>
      </c>
      <c r="V1219" s="1" t="str">
        <f>TEXT(Table1[[#This Row],[Hiring Date]],"yyyy")</f>
        <v>2025</v>
      </c>
    </row>
    <row r="1220" spans="1:22">
      <c r="A1220" t="s">
        <v>782</v>
      </c>
      <c r="B1220">
        <v>28</v>
      </c>
      <c r="C1220">
        <v>1144</v>
      </c>
      <c r="D1220" t="s">
        <v>11</v>
      </c>
      <c r="E1220" t="s">
        <v>1495</v>
      </c>
      <c r="F1220" t="s">
        <v>1496</v>
      </c>
      <c r="G1220">
        <v>74</v>
      </c>
      <c r="H1220">
        <v>3</v>
      </c>
      <c r="I1220">
        <v>1</v>
      </c>
      <c r="J1220" t="s">
        <v>1489</v>
      </c>
      <c r="K1220" t="s">
        <v>1490</v>
      </c>
      <c r="L1220">
        <v>2</v>
      </c>
      <c r="M1220" t="s">
        <v>15</v>
      </c>
      <c r="N1220">
        <v>1</v>
      </c>
      <c r="O1220" t="s">
        <v>13</v>
      </c>
      <c r="P1220">
        <v>1</v>
      </c>
      <c r="Q1220" s="4">
        <v>45904</v>
      </c>
      <c r="R1220" s="4"/>
      <c r="S1220" t="str">
        <f>TEXT(Table1[[#This Row],[Hiring Date]],"mmmm")</f>
        <v>September</v>
      </c>
      <c r="T1220" s="1">
        <f>COUNTIF(S:S,Table1[[#This Row],[Months List]])</f>
        <v>0</v>
      </c>
      <c r="U1220" t="str">
        <f>TEXT(Table1[[#This Row],[Hiring Date]],"dddd")</f>
        <v>Thursday</v>
      </c>
      <c r="V1220" s="1" t="str">
        <f>TEXT(Table1[[#This Row],[Hiring Date]],"yyyy")</f>
        <v>2025</v>
      </c>
    </row>
    <row r="1221" spans="1:22">
      <c r="A1221" t="s">
        <v>783</v>
      </c>
      <c r="B1221">
        <v>38</v>
      </c>
      <c r="C1221">
        <v>1186</v>
      </c>
      <c r="D1221" t="s">
        <v>14</v>
      </c>
      <c r="E1221" t="s">
        <v>1500</v>
      </c>
      <c r="F1221" t="s">
        <v>1496</v>
      </c>
      <c r="G1221">
        <v>44</v>
      </c>
      <c r="H1221">
        <v>3</v>
      </c>
      <c r="I1221">
        <v>1</v>
      </c>
      <c r="J1221" t="s">
        <v>1476</v>
      </c>
      <c r="K1221" t="s">
        <v>1477</v>
      </c>
      <c r="L1221">
        <v>3</v>
      </c>
      <c r="M1221" t="s">
        <v>15</v>
      </c>
      <c r="N1221">
        <v>3</v>
      </c>
      <c r="O1221" t="s">
        <v>13</v>
      </c>
      <c r="P1221">
        <v>8</v>
      </c>
      <c r="Q1221" s="4">
        <v>45939</v>
      </c>
      <c r="R1221" s="4"/>
      <c r="S1221" t="str">
        <f>TEXT(Table1[[#This Row],[Hiring Date]],"mmmm")</f>
        <v>October</v>
      </c>
      <c r="T1221" s="1">
        <f>COUNTIF(S:S,Table1[[#This Row],[Months List]])</f>
        <v>0</v>
      </c>
      <c r="U1221" t="str">
        <f>TEXT(Table1[[#This Row],[Hiring Date]],"dddd")</f>
        <v>Thursday</v>
      </c>
      <c r="V1221" s="1" t="str">
        <f>TEXT(Table1[[#This Row],[Hiring Date]],"yyyy")</f>
        <v>2025</v>
      </c>
    </row>
    <row r="1222" spans="1:22">
      <c r="A1222" t="s">
        <v>784</v>
      </c>
      <c r="B1222">
        <v>50</v>
      </c>
      <c r="C1222">
        <v>1464</v>
      </c>
      <c r="D1222" t="s">
        <v>14</v>
      </c>
      <c r="E1222" t="s">
        <v>1495</v>
      </c>
      <c r="F1222" t="s">
        <v>1496</v>
      </c>
      <c r="G1222">
        <v>62</v>
      </c>
      <c r="H1222">
        <v>3</v>
      </c>
      <c r="I1222">
        <v>5</v>
      </c>
      <c r="J1222" t="s">
        <v>1487</v>
      </c>
      <c r="K1222" t="s">
        <v>1488</v>
      </c>
      <c r="L1222">
        <v>3</v>
      </c>
      <c r="M1222" t="s">
        <v>15</v>
      </c>
      <c r="N1222">
        <v>2</v>
      </c>
      <c r="O1222" t="s">
        <v>10</v>
      </c>
      <c r="P1222">
        <v>29</v>
      </c>
      <c r="Q1222" s="4">
        <v>45655</v>
      </c>
      <c r="R1222" s="4"/>
      <c r="S1222" t="str">
        <f>TEXT(Table1[[#This Row],[Hiring Date]],"mmmm")</f>
        <v>December</v>
      </c>
      <c r="T1222" s="1">
        <f>COUNTIF(S:S,Table1[[#This Row],[Months List]])</f>
        <v>0</v>
      </c>
      <c r="U1222" t="str">
        <f>TEXT(Table1[[#This Row],[Hiring Date]],"dddd")</f>
        <v>Sunday</v>
      </c>
      <c r="V1222" s="1" t="str">
        <f>TEXT(Table1[[#This Row],[Hiring Date]],"yyyy")</f>
        <v>2024</v>
      </c>
    </row>
    <row r="1223" spans="1:22">
      <c r="A1223" t="s">
        <v>785</v>
      </c>
      <c r="B1223">
        <v>37</v>
      </c>
      <c r="C1223">
        <v>124</v>
      </c>
      <c r="D1223" t="s">
        <v>14</v>
      </c>
      <c r="E1223" t="s">
        <v>1500</v>
      </c>
      <c r="F1223" t="s">
        <v>1499</v>
      </c>
      <c r="G1223">
        <v>35</v>
      </c>
      <c r="H1223">
        <v>3</v>
      </c>
      <c r="I1223">
        <v>2</v>
      </c>
      <c r="J1223" t="s">
        <v>1478</v>
      </c>
      <c r="K1223" t="s">
        <v>1479</v>
      </c>
      <c r="L1223">
        <v>2</v>
      </c>
      <c r="M1223" t="s">
        <v>12</v>
      </c>
      <c r="N1223">
        <v>3</v>
      </c>
      <c r="O1223" t="s">
        <v>13</v>
      </c>
      <c r="P1223">
        <v>8</v>
      </c>
      <c r="Q1223" s="4">
        <v>45984</v>
      </c>
      <c r="R1223" s="4"/>
      <c r="S1223" t="str">
        <f>TEXT(Table1[[#This Row],[Hiring Date]],"mmmm")</f>
        <v>November</v>
      </c>
      <c r="T1223" s="1">
        <f>COUNTIF(S:S,Table1[[#This Row],[Months List]])</f>
        <v>0</v>
      </c>
      <c r="U1223" t="str">
        <f>TEXT(Table1[[#This Row],[Hiring Date]],"dddd")</f>
        <v>Sunday</v>
      </c>
      <c r="V1223" s="1" t="str">
        <f>TEXT(Table1[[#This Row],[Hiring Date]],"yyyy")</f>
        <v>2025</v>
      </c>
    </row>
    <row r="1224" spans="1:22">
      <c r="A1224" t="s">
        <v>786</v>
      </c>
      <c r="B1224">
        <v>40</v>
      </c>
      <c r="C1224">
        <v>300</v>
      </c>
      <c r="D1224" t="s">
        <v>11</v>
      </c>
      <c r="E1224" t="s">
        <v>1498</v>
      </c>
      <c r="F1224" t="s">
        <v>1496</v>
      </c>
      <c r="G1224">
        <v>74</v>
      </c>
      <c r="H1224">
        <v>3</v>
      </c>
      <c r="I1224">
        <v>2</v>
      </c>
      <c r="J1224" t="s">
        <v>1474</v>
      </c>
      <c r="K1224" t="s">
        <v>1475</v>
      </c>
      <c r="L1224">
        <v>1</v>
      </c>
      <c r="M1224" t="s">
        <v>15</v>
      </c>
      <c r="N1224">
        <v>1</v>
      </c>
      <c r="O1224" t="s">
        <v>13</v>
      </c>
      <c r="P1224">
        <v>8</v>
      </c>
      <c r="Q1224" s="4">
        <v>45907</v>
      </c>
      <c r="R1224" s="4"/>
      <c r="S1224" t="str">
        <f>TEXT(Table1[[#This Row],[Hiring Date]],"mmmm")</f>
        <v>September</v>
      </c>
      <c r="T1224" s="1">
        <f>COUNTIF(S:S,Table1[[#This Row],[Months List]])</f>
        <v>0</v>
      </c>
      <c r="U1224" t="str">
        <f>TEXT(Table1[[#This Row],[Hiring Date]],"dddd")</f>
        <v>Sunday</v>
      </c>
      <c r="V1224" s="1" t="str">
        <f>TEXT(Table1[[#This Row],[Hiring Date]],"yyyy")</f>
        <v>2025</v>
      </c>
    </row>
    <row r="1225" spans="1:22">
      <c r="A1225" t="s">
        <v>85</v>
      </c>
      <c r="B1225">
        <v>45</v>
      </c>
      <c r="C1225">
        <v>1339</v>
      </c>
      <c r="D1225" t="s">
        <v>14</v>
      </c>
      <c r="E1225" t="s">
        <v>1497</v>
      </c>
      <c r="F1225" t="s">
        <v>1496</v>
      </c>
      <c r="G1225">
        <v>59</v>
      </c>
      <c r="H1225">
        <v>3</v>
      </c>
      <c r="I1225">
        <v>3</v>
      </c>
      <c r="J1225" t="s">
        <v>1476</v>
      </c>
      <c r="K1225" t="s">
        <v>1477</v>
      </c>
      <c r="L1225">
        <v>1</v>
      </c>
      <c r="M1225" t="s">
        <v>16</v>
      </c>
      <c r="N1225">
        <v>2</v>
      </c>
      <c r="O1225" t="s">
        <v>13</v>
      </c>
      <c r="P1225">
        <v>25</v>
      </c>
      <c r="Q1225" s="4">
        <v>45950</v>
      </c>
      <c r="R1225" s="4"/>
      <c r="S1225" t="str">
        <f>TEXT(Table1[[#This Row],[Hiring Date]],"mmmm")</f>
        <v>October</v>
      </c>
      <c r="T1225" s="1">
        <f>COUNTIF(S:S,Table1[[#This Row],[Months List]])</f>
        <v>0</v>
      </c>
      <c r="U1225" t="str">
        <f>TEXT(Table1[[#This Row],[Hiring Date]],"dddd")</f>
        <v>Monday</v>
      </c>
      <c r="V1225" s="1" t="str">
        <f>TEXT(Table1[[#This Row],[Hiring Date]],"yyyy")</f>
        <v>2025</v>
      </c>
    </row>
    <row r="1226" spans="1:22">
      <c r="A1226" t="s">
        <v>787</v>
      </c>
      <c r="B1226">
        <v>26</v>
      </c>
      <c r="C1226">
        <v>921</v>
      </c>
      <c r="D1226" t="s">
        <v>14</v>
      </c>
      <c r="E1226" t="s">
        <v>1495</v>
      </c>
      <c r="F1226" t="s">
        <v>1499</v>
      </c>
      <c r="G1226">
        <v>66</v>
      </c>
      <c r="H1226">
        <v>2</v>
      </c>
      <c r="I1226">
        <v>1</v>
      </c>
      <c r="J1226" t="s">
        <v>1476</v>
      </c>
      <c r="K1226" t="s">
        <v>1477</v>
      </c>
      <c r="L1226">
        <v>3</v>
      </c>
      <c r="M1226" t="s">
        <v>16</v>
      </c>
      <c r="N1226">
        <v>1</v>
      </c>
      <c r="O1226" t="s">
        <v>13</v>
      </c>
      <c r="P1226">
        <v>5</v>
      </c>
      <c r="Q1226" s="4">
        <v>45840</v>
      </c>
      <c r="R1226" s="4"/>
      <c r="S1226" t="str">
        <f>TEXT(Table1[[#This Row],[Hiring Date]],"mmmm")</f>
        <v>July</v>
      </c>
      <c r="T1226" s="1">
        <f>COUNTIF(S:S,Table1[[#This Row],[Months List]])</f>
        <v>0</v>
      </c>
      <c r="U1226" t="str">
        <f>TEXT(Table1[[#This Row],[Hiring Date]],"dddd")</f>
        <v>Wednesday</v>
      </c>
      <c r="V1226" s="1" t="str">
        <f>TEXT(Table1[[#This Row],[Hiring Date]],"yyyy")</f>
        <v>2025</v>
      </c>
    </row>
    <row r="1227" spans="1:22">
      <c r="A1227" t="s">
        <v>788</v>
      </c>
      <c r="B1227">
        <v>46</v>
      </c>
      <c r="C1227">
        <v>430</v>
      </c>
      <c r="D1227" t="s">
        <v>14</v>
      </c>
      <c r="E1227" t="s">
        <v>1495</v>
      </c>
      <c r="F1227" t="s">
        <v>1496</v>
      </c>
      <c r="G1227">
        <v>40</v>
      </c>
      <c r="H1227">
        <v>3</v>
      </c>
      <c r="I1227">
        <v>5</v>
      </c>
      <c r="J1227" t="s">
        <v>1487</v>
      </c>
      <c r="K1227" t="s">
        <v>1488</v>
      </c>
      <c r="L1227">
        <v>4</v>
      </c>
      <c r="M1227" t="s">
        <v>16</v>
      </c>
      <c r="N1227">
        <v>9</v>
      </c>
      <c r="O1227" t="s">
        <v>13</v>
      </c>
      <c r="P1227">
        <v>23</v>
      </c>
      <c r="Q1227" s="4">
        <v>45984</v>
      </c>
      <c r="R1227" s="4"/>
      <c r="S1227" t="str">
        <f>TEXT(Table1[[#This Row],[Hiring Date]],"mmmm")</f>
        <v>November</v>
      </c>
      <c r="T1227" s="1">
        <f>COUNTIF(S:S,Table1[[#This Row],[Months List]])</f>
        <v>0</v>
      </c>
      <c r="U1227" t="str">
        <f>TEXT(Table1[[#This Row],[Hiring Date]],"dddd")</f>
        <v>Sunday</v>
      </c>
      <c r="V1227" s="1" t="str">
        <f>TEXT(Table1[[#This Row],[Hiring Date]],"yyyy")</f>
        <v>2025</v>
      </c>
    </row>
    <row r="1228" spans="1:22">
      <c r="A1228" t="s">
        <v>789</v>
      </c>
      <c r="B1228">
        <v>54</v>
      </c>
      <c r="C1228">
        <v>1082</v>
      </c>
      <c r="D1228" t="s">
        <v>11</v>
      </c>
      <c r="E1228" t="s">
        <v>1497</v>
      </c>
      <c r="F1228" t="s">
        <v>1499</v>
      </c>
      <c r="G1228">
        <v>41</v>
      </c>
      <c r="H1228">
        <v>2</v>
      </c>
      <c r="I1228">
        <v>3</v>
      </c>
      <c r="J1228" t="s">
        <v>1474</v>
      </c>
      <c r="K1228" t="s">
        <v>1475</v>
      </c>
      <c r="L1228">
        <v>3</v>
      </c>
      <c r="M1228" t="s">
        <v>15</v>
      </c>
      <c r="N1228">
        <v>6</v>
      </c>
      <c r="O1228" t="s">
        <v>13</v>
      </c>
      <c r="P1228">
        <v>13</v>
      </c>
      <c r="Q1228" s="4">
        <v>45724</v>
      </c>
      <c r="R1228" s="4"/>
      <c r="S1228" t="str">
        <f>TEXT(Table1[[#This Row],[Hiring Date]],"mmmm")</f>
        <v>March</v>
      </c>
      <c r="T1228" s="1">
        <f>COUNTIF(S:S,Table1[[#This Row],[Months List]])</f>
        <v>0</v>
      </c>
      <c r="U1228" t="str">
        <f>TEXT(Table1[[#This Row],[Hiring Date]],"dddd")</f>
        <v>Saturday</v>
      </c>
      <c r="V1228" s="1" t="str">
        <f>TEXT(Table1[[#This Row],[Hiring Date]],"yyyy")</f>
        <v>2025</v>
      </c>
    </row>
    <row r="1229" spans="1:22">
      <c r="A1229" t="s">
        <v>790</v>
      </c>
      <c r="B1229">
        <v>56</v>
      </c>
      <c r="C1229">
        <v>1240</v>
      </c>
      <c r="D1229" t="s">
        <v>14</v>
      </c>
      <c r="E1229" t="s">
        <v>1495</v>
      </c>
      <c r="F1229" t="s">
        <v>1499</v>
      </c>
      <c r="G1229">
        <v>63</v>
      </c>
      <c r="H1229">
        <v>3</v>
      </c>
      <c r="I1229">
        <v>1</v>
      </c>
      <c r="J1229" t="s">
        <v>1476</v>
      </c>
      <c r="K1229" t="s">
        <v>1477</v>
      </c>
      <c r="L1229">
        <v>3</v>
      </c>
      <c r="M1229" t="s">
        <v>15</v>
      </c>
      <c r="N1229">
        <v>2</v>
      </c>
      <c r="O1229" t="s">
        <v>13</v>
      </c>
      <c r="P1229">
        <v>18</v>
      </c>
      <c r="Q1229" s="4">
        <v>45970</v>
      </c>
      <c r="R1229" s="4"/>
      <c r="S1229" t="str">
        <f>TEXT(Table1[[#This Row],[Hiring Date]],"mmmm")</f>
        <v>November</v>
      </c>
      <c r="T1229" s="1">
        <f>COUNTIF(S:S,Table1[[#This Row],[Months List]])</f>
        <v>0</v>
      </c>
      <c r="U1229" t="str">
        <f>TEXT(Table1[[#This Row],[Hiring Date]],"dddd")</f>
        <v>Sunday</v>
      </c>
      <c r="V1229" s="1" t="str">
        <f>TEXT(Table1[[#This Row],[Hiring Date]],"yyyy")</f>
        <v>2025</v>
      </c>
    </row>
    <row r="1230" spans="1:22">
      <c r="A1230" t="s">
        <v>791</v>
      </c>
      <c r="B1230">
        <v>36</v>
      </c>
      <c r="C1230">
        <v>796</v>
      </c>
      <c r="D1230" t="s">
        <v>14</v>
      </c>
      <c r="E1230" t="s">
        <v>1495</v>
      </c>
      <c r="F1230" t="s">
        <v>1499</v>
      </c>
      <c r="G1230">
        <v>51</v>
      </c>
      <c r="H1230">
        <v>2</v>
      </c>
      <c r="I1230">
        <v>3</v>
      </c>
      <c r="J1230" t="s">
        <v>1480</v>
      </c>
      <c r="K1230" t="s">
        <v>1481</v>
      </c>
      <c r="L1230">
        <v>4</v>
      </c>
      <c r="M1230" t="s">
        <v>12</v>
      </c>
      <c r="N1230">
        <v>0</v>
      </c>
      <c r="O1230" t="s">
        <v>13</v>
      </c>
      <c r="P1230">
        <v>15</v>
      </c>
      <c r="Q1230" s="4">
        <v>45861</v>
      </c>
      <c r="R1230" s="4"/>
      <c r="S1230" t="str">
        <f>TEXT(Table1[[#This Row],[Hiring Date]],"mmmm")</f>
        <v>July</v>
      </c>
      <c r="T1230" s="1">
        <f>COUNTIF(S:S,Table1[[#This Row],[Months List]])</f>
        <v>0</v>
      </c>
      <c r="U1230" t="str">
        <f>TEXT(Table1[[#This Row],[Hiring Date]],"dddd")</f>
        <v>Wednesday</v>
      </c>
      <c r="V1230" s="1" t="str">
        <f>TEXT(Table1[[#This Row],[Hiring Date]],"yyyy")</f>
        <v>2025</v>
      </c>
    </row>
    <row r="1231" spans="1:22">
      <c r="A1231" t="s">
        <v>792</v>
      </c>
      <c r="B1231">
        <v>55</v>
      </c>
      <c r="C1231">
        <v>444</v>
      </c>
      <c r="D1231" t="s">
        <v>14</v>
      </c>
      <c r="E1231" t="s">
        <v>1495</v>
      </c>
      <c r="F1231" t="s">
        <v>1496</v>
      </c>
      <c r="G1231">
        <v>40</v>
      </c>
      <c r="H1231">
        <v>2</v>
      </c>
      <c r="I1231">
        <v>4</v>
      </c>
      <c r="J1231" t="s">
        <v>1482</v>
      </c>
      <c r="K1231" t="s">
        <v>1483</v>
      </c>
      <c r="L1231">
        <v>1</v>
      </c>
      <c r="M1231" t="s">
        <v>12</v>
      </c>
      <c r="N1231">
        <v>7</v>
      </c>
      <c r="O1231" t="s">
        <v>13</v>
      </c>
      <c r="P1231">
        <v>31</v>
      </c>
      <c r="Q1231" s="4">
        <v>45820</v>
      </c>
      <c r="R1231" s="4"/>
      <c r="S1231" t="str">
        <f>TEXT(Table1[[#This Row],[Hiring Date]],"mmmm")</f>
        <v>June</v>
      </c>
      <c r="T1231" s="1">
        <f>COUNTIF(S:S,Table1[[#This Row],[Months List]])</f>
        <v>0</v>
      </c>
      <c r="U1231" t="str">
        <f>TEXT(Table1[[#This Row],[Hiring Date]],"dddd")</f>
        <v>Thursday</v>
      </c>
      <c r="V1231" s="1" t="str">
        <f>TEXT(Table1[[#This Row],[Hiring Date]],"yyyy")</f>
        <v>2025</v>
      </c>
    </row>
    <row r="1232" spans="1:22">
      <c r="A1232" t="s">
        <v>793</v>
      </c>
      <c r="B1232">
        <v>43</v>
      </c>
      <c r="C1232">
        <v>415</v>
      </c>
      <c r="D1232" t="s">
        <v>11</v>
      </c>
      <c r="E1232" t="s">
        <v>1495</v>
      </c>
      <c r="F1232" t="s">
        <v>1496</v>
      </c>
      <c r="G1232">
        <v>79</v>
      </c>
      <c r="H1232">
        <v>2</v>
      </c>
      <c r="I1232">
        <v>3</v>
      </c>
      <c r="J1232" t="s">
        <v>1474</v>
      </c>
      <c r="K1232" t="s">
        <v>1475</v>
      </c>
      <c r="L1232">
        <v>4</v>
      </c>
      <c r="M1232" t="s">
        <v>16</v>
      </c>
      <c r="N1232">
        <v>5</v>
      </c>
      <c r="O1232" t="s">
        <v>13</v>
      </c>
      <c r="P1232">
        <v>18</v>
      </c>
      <c r="Q1232" s="4">
        <v>45663</v>
      </c>
      <c r="R1232" s="4"/>
      <c r="S1232" t="str">
        <f>TEXT(Table1[[#This Row],[Hiring Date]],"mmmm")</f>
        <v>January</v>
      </c>
      <c r="T1232" s="1">
        <f>COUNTIF(S:S,Table1[[#This Row],[Months List]])</f>
        <v>0</v>
      </c>
      <c r="U1232" t="str">
        <f>TEXT(Table1[[#This Row],[Hiring Date]],"dddd")</f>
        <v>Monday</v>
      </c>
      <c r="V1232" s="1" t="str">
        <f>TEXT(Table1[[#This Row],[Hiring Date]],"yyyy")</f>
        <v>2025</v>
      </c>
    </row>
    <row r="1233" spans="1:22">
      <c r="A1233" t="s">
        <v>794</v>
      </c>
      <c r="B1233">
        <v>20</v>
      </c>
      <c r="C1233">
        <v>769</v>
      </c>
      <c r="D1233" t="s">
        <v>11</v>
      </c>
      <c r="E1233" t="s">
        <v>1498</v>
      </c>
      <c r="F1233" t="s">
        <v>1499</v>
      </c>
      <c r="G1233">
        <v>54</v>
      </c>
      <c r="H1233">
        <v>3</v>
      </c>
      <c r="I1233">
        <v>1</v>
      </c>
      <c r="J1233" t="s">
        <v>1489</v>
      </c>
      <c r="K1233" t="s">
        <v>1490</v>
      </c>
      <c r="L1233">
        <v>4</v>
      </c>
      <c r="M1233" t="s">
        <v>12</v>
      </c>
      <c r="N1233">
        <v>1</v>
      </c>
      <c r="O1233" t="s">
        <v>10</v>
      </c>
      <c r="P1233">
        <v>2</v>
      </c>
      <c r="Q1233" s="4">
        <v>45701</v>
      </c>
      <c r="R1233" s="4"/>
      <c r="S1233" t="str">
        <f>TEXT(Table1[[#This Row],[Hiring Date]],"mmmm")</f>
        <v>February</v>
      </c>
      <c r="T1233" s="1">
        <f>COUNTIF(S:S,Table1[[#This Row],[Months List]])</f>
        <v>0</v>
      </c>
      <c r="U1233" t="str">
        <f>TEXT(Table1[[#This Row],[Hiring Date]],"dddd")</f>
        <v>Thursday</v>
      </c>
      <c r="V1233" s="1" t="str">
        <f>TEXT(Table1[[#This Row],[Hiring Date]],"yyyy")</f>
        <v>2025</v>
      </c>
    </row>
    <row r="1234" spans="1:22">
      <c r="A1234" t="s">
        <v>795</v>
      </c>
      <c r="B1234">
        <v>21</v>
      </c>
      <c r="C1234">
        <v>1334</v>
      </c>
      <c r="D1234" t="s">
        <v>14</v>
      </c>
      <c r="E1234" t="s">
        <v>1497</v>
      </c>
      <c r="F1234" t="s">
        <v>1499</v>
      </c>
      <c r="G1234">
        <v>36</v>
      </c>
      <c r="H1234">
        <v>2</v>
      </c>
      <c r="I1234">
        <v>1</v>
      </c>
      <c r="J1234" t="s">
        <v>1484</v>
      </c>
      <c r="K1234" t="s">
        <v>1485</v>
      </c>
      <c r="L1234">
        <v>1</v>
      </c>
      <c r="M1234" t="s">
        <v>12</v>
      </c>
      <c r="N1234">
        <v>1</v>
      </c>
      <c r="O1234" t="s">
        <v>13</v>
      </c>
      <c r="P1234">
        <v>1</v>
      </c>
      <c r="Q1234" s="4">
        <v>45644</v>
      </c>
      <c r="R1234" s="4"/>
      <c r="S1234" t="str">
        <f>TEXT(Table1[[#This Row],[Hiring Date]],"mmmm")</f>
        <v>December</v>
      </c>
      <c r="T1234" s="1">
        <f>COUNTIF(S:S,Table1[[#This Row],[Months List]])</f>
        <v>0</v>
      </c>
      <c r="U1234" t="str">
        <f>TEXT(Table1[[#This Row],[Hiring Date]],"dddd")</f>
        <v>Wednesday</v>
      </c>
      <c r="V1234" s="1" t="str">
        <f>TEXT(Table1[[#This Row],[Hiring Date]],"yyyy")</f>
        <v>2024</v>
      </c>
    </row>
    <row r="1235" spans="1:22">
      <c r="A1235" t="s">
        <v>796</v>
      </c>
      <c r="B1235">
        <v>46</v>
      </c>
      <c r="C1235">
        <v>1003</v>
      </c>
      <c r="D1235" t="s">
        <v>14</v>
      </c>
      <c r="E1235" t="s">
        <v>1497</v>
      </c>
      <c r="F1235" t="s">
        <v>1499</v>
      </c>
      <c r="G1235">
        <v>74</v>
      </c>
      <c r="H1235">
        <v>2</v>
      </c>
      <c r="I1235">
        <v>2</v>
      </c>
      <c r="J1235" t="s">
        <v>1476</v>
      </c>
      <c r="K1235" t="s">
        <v>1477</v>
      </c>
      <c r="L1235">
        <v>1</v>
      </c>
      <c r="M1235" t="s">
        <v>16</v>
      </c>
      <c r="N1235">
        <v>8</v>
      </c>
      <c r="O1235" t="s">
        <v>10</v>
      </c>
      <c r="P1235">
        <v>19</v>
      </c>
      <c r="Q1235" s="4">
        <v>45904</v>
      </c>
      <c r="R1235" s="4"/>
      <c r="S1235" t="str">
        <f>TEXT(Table1[[#This Row],[Hiring Date]],"mmmm")</f>
        <v>September</v>
      </c>
      <c r="T1235" s="1">
        <f>COUNTIF(S:S,Table1[[#This Row],[Months List]])</f>
        <v>0</v>
      </c>
      <c r="U1235" t="str">
        <f>TEXT(Table1[[#This Row],[Hiring Date]],"dddd")</f>
        <v>Thursday</v>
      </c>
      <c r="V1235" s="1" t="str">
        <f>TEXT(Table1[[#This Row],[Hiring Date]],"yyyy")</f>
        <v>2025</v>
      </c>
    </row>
    <row r="1236" spans="1:22">
      <c r="A1236" t="s">
        <v>86</v>
      </c>
      <c r="B1236">
        <v>35</v>
      </c>
      <c r="C1236">
        <v>664</v>
      </c>
      <c r="D1236" t="s">
        <v>14</v>
      </c>
      <c r="E1236" t="s">
        <v>1495</v>
      </c>
      <c r="F1236" t="s">
        <v>1496</v>
      </c>
      <c r="G1236">
        <v>79</v>
      </c>
      <c r="H1236">
        <v>3</v>
      </c>
      <c r="I1236">
        <v>1</v>
      </c>
      <c r="J1236" t="s">
        <v>1476</v>
      </c>
      <c r="K1236" t="s">
        <v>1477</v>
      </c>
      <c r="L1236">
        <v>1</v>
      </c>
      <c r="M1236" t="s">
        <v>15</v>
      </c>
      <c r="N1236">
        <v>4</v>
      </c>
      <c r="O1236" t="s">
        <v>13</v>
      </c>
      <c r="P1236">
        <v>5</v>
      </c>
      <c r="Q1236" s="4">
        <v>45780</v>
      </c>
      <c r="R1236" s="4"/>
      <c r="S1236" t="str">
        <f>TEXT(Table1[[#This Row],[Hiring Date]],"mmmm")</f>
        <v>May</v>
      </c>
      <c r="T1236" s="1">
        <f>COUNTIF(S:S,Table1[[#This Row],[Months List]])</f>
        <v>0</v>
      </c>
      <c r="U1236" t="str">
        <f>TEXT(Table1[[#This Row],[Hiring Date]],"dddd")</f>
        <v>Saturday</v>
      </c>
      <c r="V1236" s="1" t="str">
        <f>TEXT(Table1[[#This Row],[Hiring Date]],"yyyy")</f>
        <v>2025</v>
      </c>
    </row>
    <row r="1237" spans="1:22">
      <c r="A1237" t="s">
        <v>797</v>
      </c>
      <c r="B1237">
        <v>51</v>
      </c>
      <c r="C1237">
        <v>1323</v>
      </c>
      <c r="D1237" t="s">
        <v>14</v>
      </c>
      <c r="E1237" t="s">
        <v>1497</v>
      </c>
      <c r="F1237" t="s">
        <v>1496</v>
      </c>
      <c r="G1237">
        <v>34</v>
      </c>
      <c r="H1237">
        <v>3</v>
      </c>
      <c r="I1237">
        <v>1</v>
      </c>
      <c r="J1237" t="s">
        <v>1476</v>
      </c>
      <c r="K1237" t="s">
        <v>1477</v>
      </c>
      <c r="L1237">
        <v>3</v>
      </c>
      <c r="M1237" t="s">
        <v>15</v>
      </c>
      <c r="N1237">
        <v>9</v>
      </c>
      <c r="O1237" t="s">
        <v>10</v>
      </c>
      <c r="P1237">
        <v>18</v>
      </c>
      <c r="Q1237" s="4">
        <v>45957</v>
      </c>
      <c r="R1237" s="4"/>
      <c r="S1237" t="str">
        <f>TEXT(Table1[[#This Row],[Hiring Date]],"mmmm")</f>
        <v>October</v>
      </c>
      <c r="T1237" s="1">
        <f>COUNTIF(S:S,Table1[[#This Row],[Months List]])</f>
        <v>0</v>
      </c>
      <c r="U1237" t="str">
        <f>TEXT(Table1[[#This Row],[Hiring Date]],"dddd")</f>
        <v>Monday</v>
      </c>
      <c r="V1237" s="1" t="str">
        <f>TEXT(Table1[[#This Row],[Hiring Date]],"yyyy")</f>
        <v>2025</v>
      </c>
    </row>
    <row r="1238" spans="1:22">
      <c r="A1238" t="s">
        <v>798</v>
      </c>
      <c r="B1238">
        <v>28</v>
      </c>
      <c r="C1238">
        <v>1366</v>
      </c>
      <c r="D1238" t="s">
        <v>14</v>
      </c>
      <c r="E1238" t="s">
        <v>1501</v>
      </c>
      <c r="F1238" t="s">
        <v>1496</v>
      </c>
      <c r="G1238">
        <v>72</v>
      </c>
      <c r="H1238">
        <v>2</v>
      </c>
      <c r="I1238">
        <v>3</v>
      </c>
      <c r="J1238" t="s">
        <v>1478</v>
      </c>
      <c r="K1238" t="s">
        <v>1479</v>
      </c>
      <c r="L1238">
        <v>1</v>
      </c>
      <c r="M1238" t="s">
        <v>12</v>
      </c>
      <c r="N1238">
        <v>1</v>
      </c>
      <c r="O1238" t="s">
        <v>13</v>
      </c>
      <c r="P1238">
        <v>10</v>
      </c>
      <c r="Q1238" s="4">
        <v>45766</v>
      </c>
      <c r="R1238" s="4"/>
      <c r="S1238" t="str">
        <f>TEXT(Table1[[#This Row],[Hiring Date]],"mmmm")</f>
        <v>April</v>
      </c>
      <c r="T1238" s="1">
        <f>COUNTIF(S:S,Table1[[#This Row],[Months List]])</f>
        <v>0</v>
      </c>
      <c r="U1238" t="str">
        <f>TEXT(Table1[[#This Row],[Hiring Date]],"dddd")</f>
        <v>Saturday</v>
      </c>
      <c r="V1238" s="1" t="str">
        <f>TEXT(Table1[[#This Row],[Hiring Date]],"yyyy")</f>
        <v>2025</v>
      </c>
    </row>
    <row r="1239" spans="1:22">
      <c r="A1239" t="s">
        <v>799</v>
      </c>
      <c r="B1239">
        <v>26</v>
      </c>
      <c r="C1239">
        <v>192</v>
      </c>
      <c r="D1239" t="s">
        <v>14</v>
      </c>
      <c r="E1239" t="s">
        <v>1495</v>
      </c>
      <c r="F1239" t="s">
        <v>1496</v>
      </c>
      <c r="G1239">
        <v>59</v>
      </c>
      <c r="H1239">
        <v>2</v>
      </c>
      <c r="I1239">
        <v>1</v>
      </c>
      <c r="J1239" t="s">
        <v>1484</v>
      </c>
      <c r="K1239" t="s">
        <v>1485</v>
      </c>
      <c r="L1239">
        <v>1</v>
      </c>
      <c r="M1239" t="s">
        <v>15</v>
      </c>
      <c r="N1239">
        <v>1</v>
      </c>
      <c r="O1239" t="s">
        <v>13</v>
      </c>
      <c r="P1239">
        <v>6</v>
      </c>
      <c r="Q1239" s="4">
        <v>45663</v>
      </c>
      <c r="R1239" s="4"/>
      <c r="S1239" t="str">
        <f>TEXT(Table1[[#This Row],[Hiring Date]],"mmmm")</f>
        <v>January</v>
      </c>
      <c r="T1239" s="1">
        <f>COUNTIF(S:S,Table1[[#This Row],[Months List]])</f>
        <v>0</v>
      </c>
      <c r="U1239" t="str">
        <f>TEXT(Table1[[#This Row],[Hiring Date]],"dddd")</f>
        <v>Monday</v>
      </c>
      <c r="V1239" s="1" t="str">
        <f>TEXT(Table1[[#This Row],[Hiring Date]],"yyyy")</f>
        <v>2025</v>
      </c>
    </row>
    <row r="1240" spans="1:22">
      <c r="A1240" t="s">
        <v>800</v>
      </c>
      <c r="B1240">
        <v>30</v>
      </c>
      <c r="C1240">
        <v>1176</v>
      </c>
      <c r="D1240" t="s">
        <v>14</v>
      </c>
      <c r="E1240" t="s">
        <v>1500</v>
      </c>
      <c r="F1240" t="s">
        <v>1496</v>
      </c>
      <c r="G1240">
        <v>85</v>
      </c>
      <c r="H1240">
        <v>3</v>
      </c>
      <c r="I1240">
        <v>2</v>
      </c>
      <c r="J1240" t="s">
        <v>1480</v>
      </c>
      <c r="K1240" t="s">
        <v>1481</v>
      </c>
      <c r="L1240">
        <v>1</v>
      </c>
      <c r="M1240" t="s">
        <v>15</v>
      </c>
      <c r="N1240">
        <v>0</v>
      </c>
      <c r="O1240" t="s">
        <v>13</v>
      </c>
      <c r="P1240">
        <v>7</v>
      </c>
      <c r="Q1240" s="4">
        <v>45758</v>
      </c>
      <c r="R1240" s="4"/>
      <c r="S1240" t="str">
        <f>TEXT(Table1[[#This Row],[Hiring Date]],"mmmm")</f>
        <v>April</v>
      </c>
      <c r="T1240" s="1">
        <f>COUNTIF(S:S,Table1[[#This Row],[Months List]])</f>
        <v>0</v>
      </c>
      <c r="U1240" t="str">
        <f>TEXT(Table1[[#This Row],[Hiring Date]],"dddd")</f>
        <v>Friday</v>
      </c>
      <c r="V1240" s="1" t="str">
        <f>TEXT(Table1[[#This Row],[Hiring Date]],"yyyy")</f>
        <v>2025</v>
      </c>
    </row>
    <row r="1241" spans="1:22">
      <c r="A1241" t="s">
        <v>801</v>
      </c>
      <c r="B1241">
        <v>41</v>
      </c>
      <c r="C1241">
        <v>509</v>
      </c>
      <c r="D1241" t="s">
        <v>14</v>
      </c>
      <c r="E1241" t="s">
        <v>1501</v>
      </c>
      <c r="F1241" t="s">
        <v>1499</v>
      </c>
      <c r="G1241">
        <v>43</v>
      </c>
      <c r="H1241">
        <v>4</v>
      </c>
      <c r="I1241">
        <v>1</v>
      </c>
      <c r="J1241" t="s">
        <v>1476</v>
      </c>
      <c r="K1241" t="s">
        <v>1477</v>
      </c>
      <c r="L1241">
        <v>3</v>
      </c>
      <c r="M1241" t="s">
        <v>15</v>
      </c>
      <c r="N1241">
        <v>1</v>
      </c>
      <c r="O1241" t="s">
        <v>13</v>
      </c>
      <c r="P1241">
        <v>10</v>
      </c>
      <c r="Q1241" s="4">
        <v>45985</v>
      </c>
      <c r="R1241" s="4"/>
      <c r="S1241" t="str">
        <f>TEXT(Table1[[#This Row],[Hiring Date]],"mmmm")</f>
        <v>November</v>
      </c>
      <c r="T1241" s="1">
        <f>COUNTIF(S:S,Table1[[#This Row],[Months List]])</f>
        <v>0</v>
      </c>
      <c r="U1241" t="str">
        <f>TEXT(Table1[[#This Row],[Hiring Date]],"dddd")</f>
        <v>Monday</v>
      </c>
      <c r="V1241" s="1" t="str">
        <f>TEXT(Table1[[#This Row],[Hiring Date]],"yyyy")</f>
        <v>2025</v>
      </c>
    </row>
    <row r="1242" spans="1:22">
      <c r="A1242" t="s">
        <v>802</v>
      </c>
      <c r="B1242">
        <v>38</v>
      </c>
      <c r="C1242">
        <v>330</v>
      </c>
      <c r="D1242" t="s">
        <v>14</v>
      </c>
      <c r="E1242" t="s">
        <v>1497</v>
      </c>
      <c r="F1242" t="s">
        <v>1499</v>
      </c>
      <c r="G1242">
        <v>65</v>
      </c>
      <c r="H1242">
        <v>2</v>
      </c>
      <c r="I1242">
        <v>3</v>
      </c>
      <c r="J1242" t="s">
        <v>1478</v>
      </c>
      <c r="K1242" t="s">
        <v>1479</v>
      </c>
      <c r="L1242">
        <v>3</v>
      </c>
      <c r="M1242" t="s">
        <v>15</v>
      </c>
      <c r="N1242">
        <v>0</v>
      </c>
      <c r="O1242" t="s">
        <v>13</v>
      </c>
      <c r="P1242">
        <v>20</v>
      </c>
      <c r="Q1242" s="4">
        <v>45905</v>
      </c>
      <c r="R1242" s="4"/>
      <c r="S1242" t="str">
        <f>TEXT(Table1[[#This Row],[Hiring Date]],"mmmm")</f>
        <v>September</v>
      </c>
      <c r="T1242" s="1">
        <f>COUNTIF(S:S,Table1[[#This Row],[Months List]])</f>
        <v>0</v>
      </c>
      <c r="U1242" t="str">
        <f>TEXT(Table1[[#This Row],[Hiring Date]],"dddd")</f>
        <v>Friday</v>
      </c>
      <c r="V1242" s="1" t="str">
        <f>TEXT(Table1[[#This Row],[Hiring Date]],"yyyy")</f>
        <v>2025</v>
      </c>
    </row>
    <row r="1243" spans="1:22">
      <c r="A1243" t="s">
        <v>803</v>
      </c>
      <c r="B1243">
        <v>40</v>
      </c>
      <c r="C1243">
        <v>1492</v>
      </c>
      <c r="D1243" t="s">
        <v>14</v>
      </c>
      <c r="E1243" t="s">
        <v>1501</v>
      </c>
      <c r="F1243" t="s">
        <v>1496</v>
      </c>
      <c r="G1243">
        <v>61</v>
      </c>
      <c r="H1243">
        <v>3</v>
      </c>
      <c r="I1243">
        <v>3</v>
      </c>
      <c r="J1243" t="s">
        <v>1478</v>
      </c>
      <c r="K1243" t="s">
        <v>1479</v>
      </c>
      <c r="L1243">
        <v>4</v>
      </c>
      <c r="M1243" t="s">
        <v>15</v>
      </c>
      <c r="N1243">
        <v>4</v>
      </c>
      <c r="O1243" t="s">
        <v>13</v>
      </c>
      <c r="P1243">
        <v>14</v>
      </c>
      <c r="Q1243" s="4">
        <v>45765</v>
      </c>
      <c r="R1243" s="4"/>
      <c r="S1243" t="str">
        <f>TEXT(Table1[[#This Row],[Hiring Date]],"mmmm")</f>
        <v>April</v>
      </c>
      <c r="T1243" s="1">
        <f>COUNTIF(S:S,Table1[[#This Row],[Months List]])</f>
        <v>0</v>
      </c>
      <c r="U1243" t="str">
        <f>TEXT(Table1[[#This Row],[Hiring Date]],"dddd")</f>
        <v>Friday</v>
      </c>
      <c r="V1243" s="1" t="str">
        <f>TEXT(Table1[[#This Row],[Hiring Date]],"yyyy")</f>
        <v>2025</v>
      </c>
    </row>
    <row r="1244" spans="1:22">
      <c r="A1244" t="s">
        <v>804</v>
      </c>
      <c r="B1244">
        <v>27</v>
      </c>
      <c r="C1244">
        <v>1277</v>
      </c>
      <c r="D1244" t="s">
        <v>14</v>
      </c>
      <c r="E1244" t="s">
        <v>1497</v>
      </c>
      <c r="F1244" t="s">
        <v>1496</v>
      </c>
      <c r="G1244">
        <v>87</v>
      </c>
      <c r="H1244">
        <v>1</v>
      </c>
      <c r="I1244">
        <v>1</v>
      </c>
      <c r="J1244" t="s">
        <v>1484</v>
      </c>
      <c r="K1244" t="s">
        <v>1485</v>
      </c>
      <c r="L1244">
        <v>3</v>
      </c>
      <c r="M1244" t="s">
        <v>15</v>
      </c>
      <c r="N1244">
        <v>1</v>
      </c>
      <c r="O1244" t="s">
        <v>13</v>
      </c>
      <c r="P1244">
        <v>3</v>
      </c>
      <c r="Q1244" s="4">
        <v>45998</v>
      </c>
      <c r="R1244" s="4"/>
      <c r="S1244" t="str">
        <f>TEXT(Table1[[#This Row],[Hiring Date]],"mmmm")</f>
        <v>December</v>
      </c>
      <c r="T1244" s="1">
        <f>COUNTIF(S:S,Table1[[#This Row],[Months List]])</f>
        <v>0</v>
      </c>
      <c r="U1244" t="str">
        <f>TEXT(Table1[[#This Row],[Hiring Date]],"dddd")</f>
        <v>Sunday</v>
      </c>
      <c r="V1244" s="1" t="str">
        <f>TEXT(Table1[[#This Row],[Hiring Date]],"yyyy")</f>
        <v>2025</v>
      </c>
    </row>
    <row r="1245" spans="1:22">
      <c r="A1245" t="s">
        <v>805</v>
      </c>
      <c r="B1245">
        <v>55</v>
      </c>
      <c r="C1245">
        <v>1091</v>
      </c>
      <c r="D1245" t="s">
        <v>14</v>
      </c>
      <c r="E1245" t="s">
        <v>1497</v>
      </c>
      <c r="F1245" t="s">
        <v>1496</v>
      </c>
      <c r="G1245">
        <v>65</v>
      </c>
      <c r="H1245">
        <v>3</v>
      </c>
      <c r="I1245">
        <v>3</v>
      </c>
      <c r="J1245" t="s">
        <v>1480</v>
      </c>
      <c r="K1245" t="s">
        <v>1481</v>
      </c>
      <c r="L1245">
        <v>2</v>
      </c>
      <c r="M1245" t="s">
        <v>15</v>
      </c>
      <c r="N1245">
        <v>3</v>
      </c>
      <c r="O1245" t="s">
        <v>13</v>
      </c>
      <c r="P1245">
        <v>23</v>
      </c>
      <c r="Q1245" s="4">
        <v>45769</v>
      </c>
      <c r="R1245" s="4"/>
      <c r="S1245" t="str">
        <f>TEXT(Table1[[#This Row],[Hiring Date]],"mmmm")</f>
        <v>April</v>
      </c>
      <c r="T1245" s="1">
        <f>COUNTIF(S:S,Table1[[#This Row],[Months List]])</f>
        <v>0</v>
      </c>
      <c r="U1245" t="str">
        <f>TEXT(Table1[[#This Row],[Hiring Date]],"dddd")</f>
        <v>Tuesday</v>
      </c>
      <c r="V1245" s="1" t="str">
        <f>TEXT(Table1[[#This Row],[Hiring Date]],"yyyy")</f>
        <v>2025</v>
      </c>
    </row>
    <row r="1246" spans="1:22">
      <c r="A1246" t="s">
        <v>806</v>
      </c>
      <c r="B1246">
        <v>28</v>
      </c>
      <c r="C1246">
        <v>857</v>
      </c>
      <c r="D1246" t="s">
        <v>14</v>
      </c>
      <c r="E1246" t="s">
        <v>1500</v>
      </c>
      <c r="F1246" t="s">
        <v>1499</v>
      </c>
      <c r="G1246">
        <v>59</v>
      </c>
      <c r="H1246">
        <v>3</v>
      </c>
      <c r="I1246">
        <v>2</v>
      </c>
      <c r="J1246" t="s">
        <v>1476</v>
      </c>
      <c r="K1246" t="s">
        <v>1477</v>
      </c>
      <c r="L1246">
        <v>3</v>
      </c>
      <c r="M1246" t="s">
        <v>12</v>
      </c>
      <c r="N1246">
        <v>3</v>
      </c>
      <c r="O1246" t="s">
        <v>13</v>
      </c>
      <c r="P1246">
        <v>10</v>
      </c>
      <c r="Q1246" s="4">
        <v>45969</v>
      </c>
      <c r="R1246" s="4"/>
      <c r="S1246" t="str">
        <f>TEXT(Table1[[#This Row],[Hiring Date]],"mmmm")</f>
        <v>November</v>
      </c>
      <c r="T1246" s="1">
        <f>COUNTIF(S:S,Table1[[#This Row],[Months List]])</f>
        <v>0</v>
      </c>
      <c r="U1246" t="str">
        <f>TEXT(Table1[[#This Row],[Hiring Date]],"dddd")</f>
        <v>Saturday</v>
      </c>
      <c r="V1246" s="1" t="str">
        <f>TEXT(Table1[[#This Row],[Hiring Date]],"yyyy")</f>
        <v>2025</v>
      </c>
    </row>
    <row r="1247" spans="1:22">
      <c r="A1247" t="s">
        <v>87</v>
      </c>
      <c r="B1247">
        <v>36</v>
      </c>
      <c r="C1247">
        <v>318</v>
      </c>
      <c r="D1247" t="s">
        <v>14</v>
      </c>
      <c r="E1247" t="s">
        <v>1495</v>
      </c>
      <c r="F1247" t="s">
        <v>1496</v>
      </c>
      <c r="G1247">
        <v>79</v>
      </c>
      <c r="H1247">
        <v>2</v>
      </c>
      <c r="I1247">
        <v>1</v>
      </c>
      <c r="J1247" t="s">
        <v>1476</v>
      </c>
      <c r="K1247" t="s">
        <v>1477</v>
      </c>
      <c r="L1247">
        <v>3</v>
      </c>
      <c r="M1247" t="s">
        <v>15</v>
      </c>
      <c r="N1247">
        <v>0</v>
      </c>
      <c r="O1247" t="s">
        <v>10</v>
      </c>
      <c r="P1247">
        <v>2</v>
      </c>
      <c r="Q1247" s="4">
        <v>45867</v>
      </c>
      <c r="R1247" s="4"/>
      <c r="S1247" t="str">
        <f>TEXT(Table1[[#This Row],[Hiring Date]],"mmmm")</f>
        <v>July</v>
      </c>
      <c r="T1247" s="1">
        <f>COUNTIF(S:S,Table1[[#This Row],[Months List]])</f>
        <v>0</v>
      </c>
      <c r="U1247" t="str">
        <f>TEXT(Table1[[#This Row],[Hiring Date]],"dddd")</f>
        <v>Tuesday</v>
      </c>
      <c r="V1247" s="1" t="str">
        <f>TEXT(Table1[[#This Row],[Hiring Date]],"yyyy")</f>
        <v>2025</v>
      </c>
    </row>
    <row r="1248" spans="1:22">
      <c r="A1248" t="s">
        <v>807</v>
      </c>
      <c r="B1248">
        <v>44</v>
      </c>
      <c r="C1248">
        <v>1376</v>
      </c>
      <c r="D1248" t="s">
        <v>17</v>
      </c>
      <c r="E1248" t="s">
        <v>1495</v>
      </c>
      <c r="F1248" t="s">
        <v>1496</v>
      </c>
      <c r="G1248">
        <v>91</v>
      </c>
      <c r="H1248">
        <v>2</v>
      </c>
      <c r="I1248">
        <v>3</v>
      </c>
      <c r="J1248" t="s">
        <v>1486</v>
      </c>
      <c r="K1248" t="s">
        <v>17</v>
      </c>
      <c r="L1248">
        <v>1</v>
      </c>
      <c r="M1248" t="s">
        <v>15</v>
      </c>
      <c r="N1248">
        <v>9</v>
      </c>
      <c r="O1248" t="s">
        <v>13</v>
      </c>
      <c r="P1248">
        <v>24</v>
      </c>
      <c r="Q1248" s="4">
        <v>45892</v>
      </c>
      <c r="R1248" s="4"/>
      <c r="S1248" t="str">
        <f>TEXT(Table1[[#This Row],[Hiring Date]],"mmmm")</f>
        <v>August</v>
      </c>
      <c r="T1248" s="1">
        <f>COUNTIF(S:S,Table1[[#This Row],[Months List]])</f>
        <v>0</v>
      </c>
      <c r="U1248" t="str">
        <f>TEXT(Table1[[#This Row],[Hiring Date]],"dddd")</f>
        <v>Saturday</v>
      </c>
      <c r="V1248" s="1" t="str">
        <f>TEXT(Table1[[#This Row],[Hiring Date]],"yyyy")</f>
        <v>2025</v>
      </c>
    </row>
    <row r="1249" spans="1:22">
      <c r="A1249" t="s">
        <v>808</v>
      </c>
      <c r="B1249">
        <v>33</v>
      </c>
      <c r="C1249">
        <v>654</v>
      </c>
      <c r="D1249" t="s">
        <v>14</v>
      </c>
      <c r="E1249" t="s">
        <v>1497</v>
      </c>
      <c r="F1249" t="s">
        <v>1496</v>
      </c>
      <c r="G1249">
        <v>34</v>
      </c>
      <c r="H1249">
        <v>2</v>
      </c>
      <c r="I1249">
        <v>3</v>
      </c>
      <c r="J1249" t="s">
        <v>1478</v>
      </c>
      <c r="K1249" t="s">
        <v>1479</v>
      </c>
      <c r="L1249">
        <v>4</v>
      </c>
      <c r="M1249" t="s">
        <v>16</v>
      </c>
      <c r="N1249">
        <v>4</v>
      </c>
      <c r="O1249" t="s">
        <v>13</v>
      </c>
      <c r="P1249">
        <v>9</v>
      </c>
      <c r="Q1249" s="4">
        <v>45813</v>
      </c>
      <c r="R1249" s="4"/>
      <c r="S1249" t="str">
        <f>TEXT(Table1[[#This Row],[Hiring Date]],"mmmm")</f>
        <v>June</v>
      </c>
      <c r="T1249" s="1">
        <f>COUNTIF(S:S,Table1[[#This Row],[Months List]])</f>
        <v>0</v>
      </c>
      <c r="U1249" t="str">
        <f>TEXT(Table1[[#This Row],[Hiring Date]],"dddd")</f>
        <v>Thursday</v>
      </c>
      <c r="V1249" s="1" t="str">
        <f>TEXT(Table1[[#This Row],[Hiring Date]],"yyyy")</f>
        <v>2025</v>
      </c>
    </row>
    <row r="1250" spans="1:22">
      <c r="A1250" t="s">
        <v>809</v>
      </c>
      <c r="B1250">
        <v>35</v>
      </c>
      <c r="C1250">
        <v>1204</v>
      </c>
      <c r="D1250" t="s">
        <v>11</v>
      </c>
      <c r="E1250" t="s">
        <v>1501</v>
      </c>
      <c r="F1250" t="s">
        <v>1496</v>
      </c>
      <c r="G1250">
        <v>86</v>
      </c>
      <c r="H1250">
        <v>3</v>
      </c>
      <c r="I1250">
        <v>3</v>
      </c>
      <c r="J1250" t="s">
        <v>1474</v>
      </c>
      <c r="K1250" t="s">
        <v>1475</v>
      </c>
      <c r="L1250">
        <v>1</v>
      </c>
      <c r="M1250" t="s">
        <v>12</v>
      </c>
      <c r="N1250">
        <v>0</v>
      </c>
      <c r="O1250" t="s">
        <v>10</v>
      </c>
      <c r="P1250">
        <v>9</v>
      </c>
      <c r="Q1250" s="4">
        <v>45936</v>
      </c>
      <c r="R1250" s="4"/>
      <c r="S1250" t="str">
        <f>TEXT(Table1[[#This Row],[Hiring Date]],"mmmm")</f>
        <v>October</v>
      </c>
      <c r="T1250" s="1">
        <f>COUNTIF(S:S,Table1[[#This Row],[Months List]])</f>
        <v>0</v>
      </c>
      <c r="U1250" t="str">
        <f>TEXT(Table1[[#This Row],[Hiring Date]],"dddd")</f>
        <v>Monday</v>
      </c>
      <c r="V1250" s="1" t="str">
        <f>TEXT(Table1[[#This Row],[Hiring Date]],"yyyy")</f>
        <v>2025</v>
      </c>
    </row>
    <row r="1251" spans="1:22">
      <c r="A1251" t="s">
        <v>810</v>
      </c>
      <c r="B1251">
        <v>33</v>
      </c>
      <c r="C1251">
        <v>827</v>
      </c>
      <c r="D1251" t="s">
        <v>14</v>
      </c>
      <c r="E1251" t="s">
        <v>1495</v>
      </c>
      <c r="F1251" t="s">
        <v>1499</v>
      </c>
      <c r="G1251">
        <v>54</v>
      </c>
      <c r="H1251">
        <v>2</v>
      </c>
      <c r="I1251">
        <v>2</v>
      </c>
      <c r="J1251" t="s">
        <v>1476</v>
      </c>
      <c r="K1251" t="s">
        <v>1477</v>
      </c>
      <c r="L1251">
        <v>3</v>
      </c>
      <c r="M1251" t="s">
        <v>12</v>
      </c>
      <c r="N1251">
        <v>1</v>
      </c>
      <c r="O1251" t="s">
        <v>13</v>
      </c>
      <c r="P1251">
        <v>14</v>
      </c>
      <c r="Q1251" s="4">
        <v>45662</v>
      </c>
      <c r="R1251" s="4"/>
      <c r="S1251" t="str">
        <f>TEXT(Table1[[#This Row],[Hiring Date]],"mmmm")</f>
        <v>January</v>
      </c>
      <c r="T1251" s="1">
        <f>COUNTIF(S:S,Table1[[#This Row],[Months List]])</f>
        <v>0</v>
      </c>
      <c r="U1251" t="str">
        <f>TEXT(Table1[[#This Row],[Hiring Date]],"dddd")</f>
        <v>Sunday</v>
      </c>
      <c r="V1251" s="1" t="str">
        <f>TEXT(Table1[[#This Row],[Hiring Date]],"yyyy")</f>
        <v>2025</v>
      </c>
    </row>
    <row r="1252" spans="1:22">
      <c r="A1252" t="s">
        <v>811</v>
      </c>
      <c r="B1252">
        <v>28</v>
      </c>
      <c r="C1252">
        <v>895</v>
      </c>
      <c r="D1252" t="s">
        <v>14</v>
      </c>
      <c r="E1252" t="s">
        <v>1497</v>
      </c>
      <c r="F1252" t="s">
        <v>1496</v>
      </c>
      <c r="G1252">
        <v>50</v>
      </c>
      <c r="H1252">
        <v>3</v>
      </c>
      <c r="I1252">
        <v>1</v>
      </c>
      <c r="J1252" t="s">
        <v>1484</v>
      </c>
      <c r="K1252" t="s">
        <v>1485</v>
      </c>
      <c r="L1252">
        <v>3</v>
      </c>
      <c r="M1252" t="s">
        <v>16</v>
      </c>
      <c r="N1252">
        <v>1</v>
      </c>
      <c r="O1252" t="s">
        <v>13</v>
      </c>
      <c r="P1252">
        <v>4</v>
      </c>
      <c r="Q1252" s="4">
        <v>45821</v>
      </c>
      <c r="R1252" s="4"/>
      <c r="S1252" t="str">
        <f>TEXT(Table1[[#This Row],[Hiring Date]],"mmmm")</f>
        <v>June</v>
      </c>
      <c r="T1252" s="1">
        <f>COUNTIF(S:S,Table1[[#This Row],[Months List]])</f>
        <v>0</v>
      </c>
      <c r="U1252" t="str">
        <f>TEXT(Table1[[#This Row],[Hiring Date]],"dddd")</f>
        <v>Friday</v>
      </c>
      <c r="V1252" s="1" t="str">
        <f>TEXT(Table1[[#This Row],[Hiring Date]],"yyyy")</f>
        <v>2025</v>
      </c>
    </row>
    <row r="1253" spans="1:22">
      <c r="A1253" t="s">
        <v>812</v>
      </c>
      <c r="B1253">
        <v>34</v>
      </c>
      <c r="C1253">
        <v>618</v>
      </c>
      <c r="D1253" t="s">
        <v>14</v>
      </c>
      <c r="E1253" t="s">
        <v>1497</v>
      </c>
      <c r="F1253" t="s">
        <v>1496</v>
      </c>
      <c r="G1253">
        <v>45</v>
      </c>
      <c r="H1253">
        <v>3</v>
      </c>
      <c r="I1253">
        <v>2</v>
      </c>
      <c r="J1253" t="s">
        <v>1478</v>
      </c>
      <c r="K1253" t="s">
        <v>1479</v>
      </c>
      <c r="L1253">
        <v>4</v>
      </c>
      <c r="M1253" t="s">
        <v>12</v>
      </c>
      <c r="N1253">
        <v>0</v>
      </c>
      <c r="O1253" t="s">
        <v>13</v>
      </c>
      <c r="P1253">
        <v>7</v>
      </c>
      <c r="Q1253" s="4">
        <v>45744</v>
      </c>
      <c r="R1253" s="4"/>
      <c r="S1253" t="str">
        <f>TEXT(Table1[[#This Row],[Hiring Date]],"mmmm")</f>
        <v>March</v>
      </c>
      <c r="T1253" s="1">
        <f>COUNTIF(S:S,Table1[[#This Row],[Months List]])</f>
        <v>0</v>
      </c>
      <c r="U1253" t="str">
        <f>TEXT(Table1[[#This Row],[Hiring Date]],"dddd")</f>
        <v>Friday</v>
      </c>
      <c r="V1253" s="1" t="str">
        <f>TEXT(Table1[[#This Row],[Hiring Date]],"yyyy")</f>
        <v>2025</v>
      </c>
    </row>
    <row r="1254" spans="1:22">
      <c r="A1254" t="s">
        <v>813</v>
      </c>
      <c r="B1254">
        <v>37</v>
      </c>
      <c r="C1254">
        <v>309</v>
      </c>
      <c r="D1254" t="s">
        <v>11</v>
      </c>
      <c r="E1254" t="s">
        <v>1497</v>
      </c>
      <c r="F1254" t="s">
        <v>1499</v>
      </c>
      <c r="G1254">
        <v>88</v>
      </c>
      <c r="H1254">
        <v>2</v>
      </c>
      <c r="I1254">
        <v>2</v>
      </c>
      <c r="J1254" t="s">
        <v>1474</v>
      </c>
      <c r="K1254" t="s">
        <v>1475</v>
      </c>
      <c r="L1254">
        <v>4</v>
      </c>
      <c r="M1254" t="s">
        <v>16</v>
      </c>
      <c r="N1254">
        <v>2</v>
      </c>
      <c r="O1254" t="s">
        <v>10</v>
      </c>
      <c r="P1254">
        <v>8</v>
      </c>
      <c r="Q1254" s="4">
        <v>45904</v>
      </c>
      <c r="R1254" s="4"/>
      <c r="S1254" t="str">
        <f>TEXT(Table1[[#This Row],[Hiring Date]],"mmmm")</f>
        <v>September</v>
      </c>
      <c r="T1254" s="1">
        <f>COUNTIF(S:S,Table1[[#This Row],[Months List]])</f>
        <v>0</v>
      </c>
      <c r="U1254" t="str">
        <f>TEXT(Table1[[#This Row],[Hiring Date]],"dddd")</f>
        <v>Thursday</v>
      </c>
      <c r="V1254" s="1" t="str">
        <f>TEXT(Table1[[#This Row],[Hiring Date]],"yyyy")</f>
        <v>2025</v>
      </c>
    </row>
    <row r="1255" spans="1:22">
      <c r="A1255" t="s">
        <v>814</v>
      </c>
      <c r="B1255">
        <v>25</v>
      </c>
      <c r="C1255">
        <v>1219</v>
      </c>
      <c r="D1255" t="s">
        <v>14</v>
      </c>
      <c r="E1255" t="s">
        <v>1501</v>
      </c>
      <c r="F1255" t="s">
        <v>1496</v>
      </c>
      <c r="G1255">
        <v>32</v>
      </c>
      <c r="H1255">
        <v>3</v>
      </c>
      <c r="I1255">
        <v>1</v>
      </c>
      <c r="J1255" t="s">
        <v>1484</v>
      </c>
      <c r="K1255" t="s">
        <v>1485</v>
      </c>
      <c r="L1255">
        <v>4</v>
      </c>
      <c r="M1255" t="s">
        <v>15</v>
      </c>
      <c r="N1255">
        <v>1</v>
      </c>
      <c r="O1255" t="s">
        <v>10</v>
      </c>
      <c r="P1255">
        <v>7</v>
      </c>
      <c r="Q1255" s="4">
        <v>45863</v>
      </c>
      <c r="R1255" s="4"/>
      <c r="S1255" t="str">
        <f>TEXT(Table1[[#This Row],[Hiring Date]],"mmmm")</f>
        <v>July</v>
      </c>
      <c r="T1255" s="1">
        <f>COUNTIF(S:S,Table1[[#This Row],[Months List]])</f>
        <v>0</v>
      </c>
      <c r="U1255" t="str">
        <f>TEXT(Table1[[#This Row],[Hiring Date]],"dddd")</f>
        <v>Friday</v>
      </c>
      <c r="V1255" s="1" t="str">
        <f>TEXT(Table1[[#This Row],[Hiring Date]],"yyyy")</f>
        <v>2025</v>
      </c>
    </row>
    <row r="1256" spans="1:22">
      <c r="A1256" t="s">
        <v>815</v>
      </c>
      <c r="B1256">
        <v>26</v>
      </c>
      <c r="C1256">
        <v>1330</v>
      </c>
      <c r="D1256" t="s">
        <v>14</v>
      </c>
      <c r="E1256" t="s">
        <v>1495</v>
      </c>
      <c r="F1256" t="s">
        <v>1496</v>
      </c>
      <c r="G1256">
        <v>37</v>
      </c>
      <c r="H1256">
        <v>3</v>
      </c>
      <c r="I1256">
        <v>1</v>
      </c>
      <c r="J1256" t="s">
        <v>1484</v>
      </c>
      <c r="K1256" t="s">
        <v>1485</v>
      </c>
      <c r="L1256">
        <v>3</v>
      </c>
      <c r="M1256" t="s">
        <v>16</v>
      </c>
      <c r="N1256">
        <v>1</v>
      </c>
      <c r="O1256" t="s">
        <v>13</v>
      </c>
      <c r="P1256">
        <v>1</v>
      </c>
      <c r="Q1256" s="4">
        <v>45901</v>
      </c>
      <c r="R1256" s="4"/>
      <c r="S1256" t="str">
        <f>TEXT(Table1[[#This Row],[Hiring Date]],"mmmm")</f>
        <v>September</v>
      </c>
      <c r="T1256" s="1">
        <f>COUNTIF(S:S,Table1[[#This Row],[Months List]])</f>
        <v>0</v>
      </c>
      <c r="U1256" t="str">
        <f>TEXT(Table1[[#This Row],[Hiring Date]],"dddd")</f>
        <v>Monday</v>
      </c>
      <c r="V1256" s="1" t="str">
        <f>TEXT(Table1[[#This Row],[Hiring Date]],"yyyy")</f>
        <v>2025</v>
      </c>
    </row>
    <row r="1257" spans="1:22">
      <c r="A1257" t="s">
        <v>816</v>
      </c>
      <c r="B1257">
        <v>33</v>
      </c>
      <c r="C1257">
        <v>1017</v>
      </c>
      <c r="D1257" t="s">
        <v>14</v>
      </c>
      <c r="E1257" t="s">
        <v>1495</v>
      </c>
      <c r="F1257" t="s">
        <v>1496</v>
      </c>
      <c r="G1257">
        <v>55</v>
      </c>
      <c r="H1257">
        <v>2</v>
      </c>
      <c r="I1257">
        <v>1</v>
      </c>
      <c r="J1257" t="s">
        <v>1476</v>
      </c>
      <c r="K1257" t="s">
        <v>1477</v>
      </c>
      <c r="L1257">
        <v>2</v>
      </c>
      <c r="M1257" t="s">
        <v>12</v>
      </c>
      <c r="N1257">
        <v>4</v>
      </c>
      <c r="O1257" t="s">
        <v>10</v>
      </c>
      <c r="P1257">
        <v>5</v>
      </c>
      <c r="Q1257" s="4">
        <v>45906</v>
      </c>
      <c r="R1257" s="4"/>
      <c r="S1257" t="str">
        <f>TEXT(Table1[[#This Row],[Hiring Date]],"mmmm")</f>
        <v>September</v>
      </c>
      <c r="T1257" s="1">
        <f>COUNTIF(S:S,Table1[[#This Row],[Months List]])</f>
        <v>0</v>
      </c>
      <c r="U1257" t="str">
        <f>TEXT(Table1[[#This Row],[Hiring Date]],"dddd")</f>
        <v>Saturday</v>
      </c>
      <c r="V1257" s="1" t="str">
        <f>TEXT(Table1[[#This Row],[Hiring Date]],"yyyy")</f>
        <v>2025</v>
      </c>
    </row>
    <row r="1258" spans="1:22">
      <c r="A1258" t="s">
        <v>88</v>
      </c>
      <c r="B1258">
        <v>59</v>
      </c>
      <c r="C1258">
        <v>1225</v>
      </c>
      <c r="D1258" t="s">
        <v>11</v>
      </c>
      <c r="E1258" t="s">
        <v>1497</v>
      </c>
      <c r="F1258" t="s">
        <v>1499</v>
      </c>
      <c r="G1258">
        <v>57</v>
      </c>
      <c r="H1258">
        <v>2</v>
      </c>
      <c r="I1258">
        <v>2</v>
      </c>
      <c r="J1258" t="s">
        <v>1474</v>
      </c>
      <c r="K1258" t="s">
        <v>1475</v>
      </c>
      <c r="L1258">
        <v>3</v>
      </c>
      <c r="M1258" t="s">
        <v>12</v>
      </c>
      <c r="N1258">
        <v>7</v>
      </c>
      <c r="O1258" t="s">
        <v>13</v>
      </c>
      <c r="P1258">
        <v>20</v>
      </c>
      <c r="Q1258" s="4">
        <v>45724</v>
      </c>
      <c r="R1258" s="4"/>
      <c r="S1258" t="str">
        <f>TEXT(Table1[[#This Row],[Hiring Date]],"mmmm")</f>
        <v>March</v>
      </c>
      <c r="T1258" s="1">
        <f>COUNTIF(S:S,Table1[[#This Row],[Months List]])</f>
        <v>0</v>
      </c>
      <c r="U1258" t="str">
        <f>TEXT(Table1[[#This Row],[Hiring Date]],"dddd")</f>
        <v>Saturday</v>
      </c>
      <c r="V1258" s="1" t="str">
        <f>TEXT(Table1[[#This Row],[Hiring Date]],"yyyy")</f>
        <v>2025</v>
      </c>
    </row>
    <row r="1259" spans="1:22">
      <c r="A1259" t="s">
        <v>817</v>
      </c>
      <c r="B1259">
        <v>42</v>
      </c>
      <c r="C1259">
        <v>469</v>
      </c>
      <c r="D1259" t="s">
        <v>14</v>
      </c>
      <c r="E1259" t="s">
        <v>1495</v>
      </c>
      <c r="F1259" t="s">
        <v>1496</v>
      </c>
      <c r="G1259">
        <v>35</v>
      </c>
      <c r="H1259">
        <v>3</v>
      </c>
      <c r="I1259">
        <v>4</v>
      </c>
      <c r="J1259" t="s">
        <v>1482</v>
      </c>
      <c r="K1259" t="s">
        <v>1483</v>
      </c>
      <c r="L1259">
        <v>1</v>
      </c>
      <c r="M1259" t="s">
        <v>15</v>
      </c>
      <c r="N1259">
        <v>0</v>
      </c>
      <c r="O1259" t="s">
        <v>13</v>
      </c>
      <c r="P1259">
        <v>23</v>
      </c>
      <c r="Q1259" s="4">
        <v>45662</v>
      </c>
      <c r="R1259" s="4"/>
      <c r="S1259" t="str">
        <f>TEXT(Table1[[#This Row],[Hiring Date]],"mmmm")</f>
        <v>January</v>
      </c>
      <c r="T1259" s="1">
        <f>COUNTIF(S:S,Table1[[#This Row],[Months List]])</f>
        <v>0</v>
      </c>
      <c r="U1259" t="str">
        <f>TEXT(Table1[[#This Row],[Hiring Date]],"dddd")</f>
        <v>Sunday</v>
      </c>
      <c r="V1259" s="1" t="str">
        <f>TEXT(Table1[[#This Row],[Hiring Date]],"yyyy")</f>
        <v>2025</v>
      </c>
    </row>
    <row r="1260" spans="1:22">
      <c r="A1260" t="s">
        <v>818</v>
      </c>
      <c r="B1260">
        <v>28</v>
      </c>
      <c r="C1260">
        <v>1009</v>
      </c>
      <c r="D1260" t="s">
        <v>14</v>
      </c>
      <c r="E1260" t="s">
        <v>1495</v>
      </c>
      <c r="F1260" t="s">
        <v>1496</v>
      </c>
      <c r="G1260">
        <v>45</v>
      </c>
      <c r="H1260">
        <v>2</v>
      </c>
      <c r="I1260">
        <v>1</v>
      </c>
      <c r="J1260" t="s">
        <v>1484</v>
      </c>
      <c r="K1260" t="s">
        <v>1485</v>
      </c>
      <c r="L1260">
        <v>2</v>
      </c>
      <c r="M1260" t="s">
        <v>16</v>
      </c>
      <c r="N1260">
        <v>1</v>
      </c>
      <c r="O1260" t="s">
        <v>13</v>
      </c>
      <c r="P1260">
        <v>1</v>
      </c>
      <c r="Q1260" s="4">
        <v>45824</v>
      </c>
      <c r="R1260" s="4"/>
      <c r="S1260" t="str">
        <f>TEXT(Table1[[#This Row],[Hiring Date]],"mmmm")</f>
        <v>June</v>
      </c>
      <c r="T1260" s="1">
        <f>COUNTIF(S:S,Table1[[#This Row],[Months List]])</f>
        <v>0</v>
      </c>
      <c r="U1260" t="str">
        <f>TEXT(Table1[[#This Row],[Hiring Date]],"dddd")</f>
        <v>Monday</v>
      </c>
      <c r="V1260" s="1" t="str">
        <f>TEXT(Table1[[#This Row],[Hiring Date]],"yyyy")</f>
        <v>2025</v>
      </c>
    </row>
    <row r="1261" spans="1:22">
      <c r="A1261" t="s">
        <v>819</v>
      </c>
      <c r="B1261">
        <v>50</v>
      </c>
      <c r="C1261">
        <v>959</v>
      </c>
      <c r="D1261" t="s">
        <v>11</v>
      </c>
      <c r="E1261" t="s">
        <v>1500</v>
      </c>
      <c r="F1261" t="s">
        <v>1496</v>
      </c>
      <c r="G1261">
        <v>81</v>
      </c>
      <c r="H1261">
        <v>3</v>
      </c>
      <c r="I1261">
        <v>2</v>
      </c>
      <c r="J1261" t="s">
        <v>1474</v>
      </c>
      <c r="K1261" t="s">
        <v>1475</v>
      </c>
      <c r="L1261">
        <v>3</v>
      </c>
      <c r="M1261" t="s">
        <v>12</v>
      </c>
      <c r="N1261">
        <v>3</v>
      </c>
      <c r="O1261" t="s">
        <v>10</v>
      </c>
      <c r="P1261">
        <v>5</v>
      </c>
      <c r="Q1261" s="4">
        <v>45732</v>
      </c>
      <c r="R1261" s="4"/>
      <c r="S1261" t="str">
        <f>TEXT(Table1[[#This Row],[Hiring Date]],"mmmm")</f>
        <v>March</v>
      </c>
      <c r="T1261" s="1">
        <f>COUNTIF(S:S,Table1[[#This Row],[Months List]])</f>
        <v>0</v>
      </c>
      <c r="U1261" t="str">
        <f>TEXT(Table1[[#This Row],[Hiring Date]],"dddd")</f>
        <v>Sunday</v>
      </c>
      <c r="V1261" s="1" t="str">
        <f>TEXT(Table1[[#This Row],[Hiring Date]],"yyyy")</f>
        <v>2025</v>
      </c>
    </row>
    <row r="1262" spans="1:22">
      <c r="A1262" t="s">
        <v>820</v>
      </c>
      <c r="B1262">
        <v>33</v>
      </c>
      <c r="C1262">
        <v>970</v>
      </c>
      <c r="D1262" t="s">
        <v>11</v>
      </c>
      <c r="E1262" t="s">
        <v>1497</v>
      </c>
      <c r="F1262" t="s">
        <v>1499</v>
      </c>
      <c r="G1262">
        <v>30</v>
      </c>
      <c r="H1262">
        <v>3</v>
      </c>
      <c r="I1262">
        <v>2</v>
      </c>
      <c r="J1262" t="s">
        <v>1474</v>
      </c>
      <c r="K1262" t="s">
        <v>1475</v>
      </c>
      <c r="L1262">
        <v>2</v>
      </c>
      <c r="M1262" t="s">
        <v>15</v>
      </c>
      <c r="N1262">
        <v>0</v>
      </c>
      <c r="O1262" t="s">
        <v>13</v>
      </c>
      <c r="P1262">
        <v>4</v>
      </c>
      <c r="Q1262" s="4">
        <v>45761</v>
      </c>
      <c r="R1262" s="4"/>
      <c r="S1262" t="str">
        <f>TEXT(Table1[[#This Row],[Hiring Date]],"mmmm")</f>
        <v>April</v>
      </c>
      <c r="T1262" s="1">
        <f>COUNTIF(S:S,Table1[[#This Row],[Months List]])</f>
        <v>0</v>
      </c>
      <c r="U1262" t="str">
        <f>TEXT(Table1[[#This Row],[Hiring Date]],"dddd")</f>
        <v>Monday</v>
      </c>
      <c r="V1262" s="1" t="str">
        <f>TEXT(Table1[[#This Row],[Hiring Date]],"yyyy")</f>
        <v>2025</v>
      </c>
    </row>
    <row r="1263" spans="1:22">
      <c r="A1263" t="s">
        <v>821</v>
      </c>
      <c r="B1263">
        <v>34</v>
      </c>
      <c r="C1263">
        <v>697</v>
      </c>
      <c r="D1263" t="s">
        <v>14</v>
      </c>
      <c r="E1263" t="s">
        <v>1497</v>
      </c>
      <c r="F1263" t="s">
        <v>1496</v>
      </c>
      <c r="G1263">
        <v>40</v>
      </c>
      <c r="H1263">
        <v>2</v>
      </c>
      <c r="I1263">
        <v>1</v>
      </c>
      <c r="J1263" t="s">
        <v>1476</v>
      </c>
      <c r="K1263" t="s">
        <v>1477</v>
      </c>
      <c r="L1263">
        <v>4</v>
      </c>
      <c r="M1263" t="s">
        <v>15</v>
      </c>
      <c r="N1263">
        <v>3</v>
      </c>
      <c r="O1263" t="s">
        <v>13</v>
      </c>
      <c r="P1263">
        <v>6</v>
      </c>
      <c r="Q1263" s="4">
        <v>45752</v>
      </c>
      <c r="R1263" s="4"/>
      <c r="S1263" t="str">
        <f>TEXT(Table1[[#This Row],[Hiring Date]],"mmmm")</f>
        <v>April</v>
      </c>
      <c r="T1263" s="1">
        <f>COUNTIF(S:S,Table1[[#This Row],[Months List]])</f>
        <v>0</v>
      </c>
      <c r="U1263" t="str">
        <f>TEXT(Table1[[#This Row],[Hiring Date]],"dddd")</f>
        <v>Saturday</v>
      </c>
      <c r="V1263" s="1" t="str">
        <f>TEXT(Table1[[#This Row],[Hiring Date]],"yyyy")</f>
        <v>2025</v>
      </c>
    </row>
    <row r="1264" spans="1:22">
      <c r="A1264" t="s">
        <v>822</v>
      </c>
      <c r="B1264">
        <v>48</v>
      </c>
      <c r="C1264">
        <v>1262</v>
      </c>
      <c r="D1264" t="s">
        <v>14</v>
      </c>
      <c r="E1264" t="s">
        <v>1495</v>
      </c>
      <c r="F1264" t="s">
        <v>1496</v>
      </c>
      <c r="G1264">
        <v>35</v>
      </c>
      <c r="H1264">
        <v>4</v>
      </c>
      <c r="I1264">
        <v>4</v>
      </c>
      <c r="J1264" t="s">
        <v>1482</v>
      </c>
      <c r="K1264" t="s">
        <v>1483</v>
      </c>
      <c r="L1264">
        <v>4</v>
      </c>
      <c r="M1264" t="s">
        <v>12</v>
      </c>
      <c r="N1264">
        <v>2</v>
      </c>
      <c r="O1264" t="s">
        <v>13</v>
      </c>
      <c r="P1264">
        <v>27</v>
      </c>
      <c r="Q1264" s="4">
        <v>45737</v>
      </c>
      <c r="R1264" s="4"/>
      <c r="S1264" t="str">
        <f>TEXT(Table1[[#This Row],[Hiring Date]],"mmmm")</f>
        <v>March</v>
      </c>
      <c r="T1264" s="1">
        <f>COUNTIF(S:S,Table1[[#This Row],[Months List]])</f>
        <v>0</v>
      </c>
      <c r="U1264" t="str">
        <f>TEXT(Table1[[#This Row],[Hiring Date]],"dddd")</f>
        <v>Friday</v>
      </c>
      <c r="V1264" s="1" t="str">
        <f>TEXT(Table1[[#This Row],[Hiring Date]],"yyyy")</f>
        <v>2025</v>
      </c>
    </row>
    <row r="1265" spans="1:22">
      <c r="A1265" t="s">
        <v>823</v>
      </c>
      <c r="B1265">
        <v>45</v>
      </c>
      <c r="C1265">
        <v>1050</v>
      </c>
      <c r="D1265" t="s">
        <v>11</v>
      </c>
      <c r="E1265" t="s">
        <v>1497</v>
      </c>
      <c r="F1265" t="s">
        <v>1499</v>
      </c>
      <c r="G1265">
        <v>65</v>
      </c>
      <c r="H1265">
        <v>2</v>
      </c>
      <c r="I1265">
        <v>2</v>
      </c>
      <c r="J1265" t="s">
        <v>1474</v>
      </c>
      <c r="K1265" t="s">
        <v>1475</v>
      </c>
      <c r="L1265">
        <v>3</v>
      </c>
      <c r="M1265" t="s">
        <v>15</v>
      </c>
      <c r="N1265">
        <v>1</v>
      </c>
      <c r="O1265" t="s">
        <v>13</v>
      </c>
      <c r="P1265">
        <v>15</v>
      </c>
      <c r="Q1265" s="4">
        <v>45674</v>
      </c>
      <c r="R1265" s="4"/>
      <c r="S1265" t="str">
        <f>TEXT(Table1[[#This Row],[Hiring Date]],"mmmm")</f>
        <v>January</v>
      </c>
      <c r="T1265" s="1">
        <f>COUNTIF(S:S,Table1[[#This Row],[Months List]])</f>
        <v>0</v>
      </c>
      <c r="U1265" t="str">
        <f>TEXT(Table1[[#This Row],[Hiring Date]],"dddd")</f>
        <v>Friday</v>
      </c>
      <c r="V1265" s="1" t="str">
        <f>TEXT(Table1[[#This Row],[Hiring Date]],"yyyy")</f>
        <v>2025</v>
      </c>
    </row>
    <row r="1266" spans="1:22">
      <c r="A1266" t="s">
        <v>824</v>
      </c>
      <c r="B1266">
        <v>52</v>
      </c>
      <c r="C1266">
        <v>994</v>
      </c>
      <c r="D1266" t="s">
        <v>14</v>
      </c>
      <c r="E1266" t="s">
        <v>1497</v>
      </c>
      <c r="F1266" t="s">
        <v>1496</v>
      </c>
      <c r="G1266">
        <v>87</v>
      </c>
      <c r="H1266">
        <v>3</v>
      </c>
      <c r="I1266">
        <v>3</v>
      </c>
      <c r="J1266" t="s">
        <v>1478</v>
      </c>
      <c r="K1266" t="s">
        <v>1479</v>
      </c>
      <c r="L1266">
        <v>2</v>
      </c>
      <c r="M1266" t="s">
        <v>12</v>
      </c>
      <c r="N1266">
        <v>7</v>
      </c>
      <c r="O1266" t="s">
        <v>13</v>
      </c>
      <c r="P1266">
        <v>18</v>
      </c>
      <c r="Q1266" s="4">
        <v>45907</v>
      </c>
      <c r="R1266" s="4"/>
      <c r="S1266" t="str">
        <f>TEXT(Table1[[#This Row],[Hiring Date]],"mmmm")</f>
        <v>September</v>
      </c>
      <c r="T1266" s="1">
        <f>COUNTIF(S:S,Table1[[#This Row],[Months List]])</f>
        <v>0</v>
      </c>
      <c r="U1266" t="str">
        <f>TEXT(Table1[[#This Row],[Hiring Date]],"dddd")</f>
        <v>Sunday</v>
      </c>
      <c r="V1266" s="1" t="str">
        <f>TEXT(Table1[[#This Row],[Hiring Date]],"yyyy")</f>
        <v>2025</v>
      </c>
    </row>
    <row r="1267" spans="1:22">
      <c r="A1267" t="s">
        <v>825</v>
      </c>
      <c r="B1267">
        <v>38</v>
      </c>
      <c r="C1267">
        <v>770</v>
      </c>
      <c r="D1267" t="s">
        <v>11</v>
      </c>
      <c r="E1267" t="s">
        <v>1498</v>
      </c>
      <c r="F1267" t="s">
        <v>1496</v>
      </c>
      <c r="G1267">
        <v>73</v>
      </c>
      <c r="H1267">
        <v>2</v>
      </c>
      <c r="I1267">
        <v>3</v>
      </c>
      <c r="J1267" t="s">
        <v>1474</v>
      </c>
      <c r="K1267" t="s">
        <v>1475</v>
      </c>
      <c r="L1267">
        <v>3</v>
      </c>
      <c r="M1267" t="s">
        <v>16</v>
      </c>
      <c r="N1267">
        <v>0</v>
      </c>
      <c r="O1267" t="s">
        <v>10</v>
      </c>
      <c r="P1267">
        <v>9</v>
      </c>
      <c r="Q1267" s="4">
        <v>45991</v>
      </c>
      <c r="R1267" s="4"/>
      <c r="S1267" t="str">
        <f>TEXT(Table1[[#This Row],[Hiring Date]],"mmmm")</f>
        <v>November</v>
      </c>
      <c r="T1267" s="1">
        <f>COUNTIF(S:S,Table1[[#This Row],[Months List]])</f>
        <v>0</v>
      </c>
      <c r="U1267" t="str">
        <f>TEXT(Table1[[#This Row],[Hiring Date]],"dddd")</f>
        <v>Sunday</v>
      </c>
      <c r="V1267" s="1" t="str">
        <f>TEXT(Table1[[#This Row],[Hiring Date]],"yyyy")</f>
        <v>2025</v>
      </c>
    </row>
    <row r="1268" spans="1:22">
      <c r="A1268" t="s">
        <v>826</v>
      </c>
      <c r="B1268">
        <v>29</v>
      </c>
      <c r="C1268">
        <v>1107</v>
      </c>
      <c r="D1268" t="s">
        <v>14</v>
      </c>
      <c r="E1268" t="s">
        <v>1497</v>
      </c>
      <c r="F1268" t="s">
        <v>1499</v>
      </c>
      <c r="G1268">
        <v>93</v>
      </c>
      <c r="H1268">
        <v>3</v>
      </c>
      <c r="I1268">
        <v>1</v>
      </c>
      <c r="J1268" t="s">
        <v>1476</v>
      </c>
      <c r="K1268" t="s">
        <v>1477</v>
      </c>
      <c r="L1268">
        <v>4</v>
      </c>
      <c r="M1268" t="s">
        <v>16</v>
      </c>
      <c r="N1268">
        <v>4</v>
      </c>
      <c r="O1268" t="s">
        <v>13</v>
      </c>
      <c r="P1268">
        <v>11</v>
      </c>
      <c r="Q1268" s="4">
        <v>45945</v>
      </c>
      <c r="R1268" s="4"/>
      <c r="S1268" t="str">
        <f>TEXT(Table1[[#This Row],[Hiring Date]],"mmmm")</f>
        <v>October</v>
      </c>
      <c r="T1268" s="1">
        <f>COUNTIF(S:S,Table1[[#This Row],[Months List]])</f>
        <v>0</v>
      </c>
      <c r="U1268" t="str">
        <f>TEXT(Table1[[#This Row],[Hiring Date]],"dddd")</f>
        <v>Wednesday</v>
      </c>
      <c r="V1268" s="1" t="str">
        <f>TEXT(Table1[[#This Row],[Hiring Date]],"yyyy")</f>
        <v>2025</v>
      </c>
    </row>
    <row r="1269" spans="1:22">
      <c r="A1269" t="s">
        <v>89</v>
      </c>
      <c r="B1269">
        <v>29</v>
      </c>
      <c r="C1269">
        <v>1328</v>
      </c>
      <c r="D1269" t="s">
        <v>14</v>
      </c>
      <c r="E1269" t="s">
        <v>1497</v>
      </c>
      <c r="F1269" t="s">
        <v>1496</v>
      </c>
      <c r="G1269">
        <v>76</v>
      </c>
      <c r="H1269">
        <v>3</v>
      </c>
      <c r="I1269">
        <v>1</v>
      </c>
      <c r="J1269" t="s">
        <v>1476</v>
      </c>
      <c r="K1269" t="s">
        <v>1477</v>
      </c>
      <c r="L1269">
        <v>2</v>
      </c>
      <c r="M1269" t="s">
        <v>15</v>
      </c>
      <c r="N1269">
        <v>0</v>
      </c>
      <c r="O1269" t="s">
        <v>13</v>
      </c>
      <c r="P1269">
        <v>6</v>
      </c>
      <c r="Q1269" s="4">
        <v>45758</v>
      </c>
      <c r="R1269" s="4"/>
      <c r="S1269" t="str">
        <f>TEXT(Table1[[#This Row],[Hiring Date]],"mmmm")</f>
        <v>April</v>
      </c>
      <c r="T1269" s="1">
        <f>COUNTIF(S:S,Table1[[#This Row],[Months List]])</f>
        <v>0</v>
      </c>
      <c r="U1269" t="str">
        <f>TEXT(Table1[[#This Row],[Hiring Date]],"dddd")</f>
        <v>Friday</v>
      </c>
      <c r="V1269" s="1" t="str">
        <f>TEXT(Table1[[#This Row],[Hiring Date]],"yyyy")</f>
        <v>2025</v>
      </c>
    </row>
    <row r="1270" spans="1:22">
      <c r="A1270" t="s">
        <v>827</v>
      </c>
      <c r="B1270">
        <v>28</v>
      </c>
      <c r="C1270">
        <v>950</v>
      </c>
      <c r="D1270" t="s">
        <v>14</v>
      </c>
      <c r="E1270" t="s">
        <v>1495</v>
      </c>
      <c r="F1270" t="s">
        <v>1499</v>
      </c>
      <c r="G1270">
        <v>93</v>
      </c>
      <c r="H1270">
        <v>3</v>
      </c>
      <c r="I1270">
        <v>3</v>
      </c>
      <c r="J1270" t="s">
        <v>1480</v>
      </c>
      <c r="K1270" t="s">
        <v>1481</v>
      </c>
      <c r="L1270">
        <v>2</v>
      </c>
      <c r="M1270" t="s">
        <v>16</v>
      </c>
      <c r="N1270">
        <v>0</v>
      </c>
      <c r="O1270" t="s">
        <v>13</v>
      </c>
      <c r="P1270">
        <v>10</v>
      </c>
      <c r="Q1270" s="4">
        <v>45977</v>
      </c>
      <c r="R1270" s="4"/>
      <c r="S1270" t="str">
        <f>TEXT(Table1[[#This Row],[Hiring Date]],"mmmm")</f>
        <v>November</v>
      </c>
      <c r="T1270" s="1">
        <f>COUNTIF(S:S,Table1[[#This Row],[Months List]])</f>
        <v>0</v>
      </c>
      <c r="U1270" t="str">
        <f>TEXT(Table1[[#This Row],[Hiring Date]],"dddd")</f>
        <v>Sunday</v>
      </c>
      <c r="V1270" s="1" t="str">
        <f>TEXT(Table1[[#This Row],[Hiring Date]],"yyyy")</f>
        <v>2025</v>
      </c>
    </row>
    <row r="1271" spans="1:22">
      <c r="A1271" t="s">
        <v>828</v>
      </c>
      <c r="B1271">
        <v>46</v>
      </c>
      <c r="C1271">
        <v>406</v>
      </c>
      <c r="D1271" t="s">
        <v>11</v>
      </c>
      <c r="E1271" t="s">
        <v>1498</v>
      </c>
      <c r="F1271" t="s">
        <v>1496</v>
      </c>
      <c r="G1271">
        <v>52</v>
      </c>
      <c r="H1271">
        <v>3</v>
      </c>
      <c r="I1271">
        <v>4</v>
      </c>
      <c r="J1271" t="s">
        <v>1482</v>
      </c>
      <c r="K1271" t="s">
        <v>1483</v>
      </c>
      <c r="L1271">
        <v>3</v>
      </c>
      <c r="M1271" t="s">
        <v>15</v>
      </c>
      <c r="N1271">
        <v>3</v>
      </c>
      <c r="O1271" t="s">
        <v>13</v>
      </c>
      <c r="P1271">
        <v>23</v>
      </c>
      <c r="Q1271" s="4">
        <v>45636</v>
      </c>
      <c r="R1271" s="4"/>
      <c r="S1271" t="str">
        <f>TEXT(Table1[[#This Row],[Hiring Date]],"mmmm")</f>
        <v>December</v>
      </c>
      <c r="T1271" s="1">
        <f>COUNTIF(S:S,Table1[[#This Row],[Months List]])</f>
        <v>0</v>
      </c>
      <c r="U1271" t="str">
        <f>TEXT(Table1[[#This Row],[Hiring Date]],"dddd")</f>
        <v>Tuesday</v>
      </c>
      <c r="V1271" s="1" t="str">
        <f>TEXT(Table1[[#This Row],[Hiring Date]],"yyyy")</f>
        <v>2024</v>
      </c>
    </row>
    <row r="1272" spans="1:22">
      <c r="A1272" t="s">
        <v>829</v>
      </c>
      <c r="B1272">
        <v>38</v>
      </c>
      <c r="C1272">
        <v>130</v>
      </c>
      <c r="D1272" t="s">
        <v>11</v>
      </c>
      <c r="E1272" t="s">
        <v>1498</v>
      </c>
      <c r="F1272" t="s">
        <v>1496</v>
      </c>
      <c r="G1272">
        <v>32</v>
      </c>
      <c r="H1272">
        <v>3</v>
      </c>
      <c r="I1272">
        <v>3</v>
      </c>
      <c r="J1272" t="s">
        <v>1474</v>
      </c>
      <c r="K1272" t="s">
        <v>1475</v>
      </c>
      <c r="L1272">
        <v>2</v>
      </c>
      <c r="M1272" t="s">
        <v>12</v>
      </c>
      <c r="N1272">
        <v>7</v>
      </c>
      <c r="O1272" t="s">
        <v>13</v>
      </c>
      <c r="P1272">
        <v>10</v>
      </c>
      <c r="Q1272" s="4">
        <v>45886</v>
      </c>
      <c r="R1272" s="4"/>
      <c r="S1272" t="str">
        <f>TEXT(Table1[[#This Row],[Hiring Date]],"mmmm")</f>
        <v>August</v>
      </c>
      <c r="T1272" s="1">
        <f>COUNTIF(S:S,Table1[[#This Row],[Months List]])</f>
        <v>0</v>
      </c>
      <c r="U1272" t="str">
        <f>TEXT(Table1[[#This Row],[Hiring Date]],"dddd")</f>
        <v>Sunday</v>
      </c>
      <c r="V1272" s="1" t="str">
        <f>TEXT(Table1[[#This Row],[Hiring Date]],"yyyy")</f>
        <v>2025</v>
      </c>
    </row>
    <row r="1273" spans="1:22">
      <c r="A1273" t="s">
        <v>830</v>
      </c>
      <c r="B1273">
        <v>43</v>
      </c>
      <c r="C1273">
        <v>1082</v>
      </c>
      <c r="D1273" t="s">
        <v>14</v>
      </c>
      <c r="E1273" t="s">
        <v>1497</v>
      </c>
      <c r="F1273" t="s">
        <v>1499</v>
      </c>
      <c r="G1273">
        <v>83</v>
      </c>
      <c r="H1273">
        <v>3</v>
      </c>
      <c r="I1273">
        <v>3</v>
      </c>
      <c r="J1273" t="s">
        <v>1480</v>
      </c>
      <c r="K1273" t="s">
        <v>1481</v>
      </c>
      <c r="L1273">
        <v>1</v>
      </c>
      <c r="M1273" t="s">
        <v>15</v>
      </c>
      <c r="N1273">
        <v>8</v>
      </c>
      <c r="O1273" t="s">
        <v>13</v>
      </c>
      <c r="P1273">
        <v>18</v>
      </c>
      <c r="Q1273" s="4">
        <v>45848</v>
      </c>
      <c r="R1273" s="4"/>
      <c r="S1273" t="str">
        <f>TEXT(Table1[[#This Row],[Hiring Date]],"mmmm")</f>
        <v>July</v>
      </c>
      <c r="T1273" s="1">
        <f>COUNTIF(S:S,Table1[[#This Row],[Months List]])</f>
        <v>0</v>
      </c>
      <c r="U1273" t="str">
        <f>TEXT(Table1[[#This Row],[Hiring Date]],"dddd")</f>
        <v>Thursday</v>
      </c>
      <c r="V1273" s="1" t="str">
        <f>TEXT(Table1[[#This Row],[Hiring Date]],"yyyy")</f>
        <v>2025</v>
      </c>
    </row>
    <row r="1274" spans="1:22">
      <c r="A1274" t="s">
        <v>831</v>
      </c>
      <c r="B1274">
        <v>39</v>
      </c>
      <c r="C1274">
        <v>203</v>
      </c>
      <c r="D1274" t="s">
        <v>14</v>
      </c>
      <c r="E1274" t="s">
        <v>1497</v>
      </c>
      <c r="F1274" t="s">
        <v>1496</v>
      </c>
      <c r="G1274">
        <v>84</v>
      </c>
      <c r="H1274">
        <v>3</v>
      </c>
      <c r="I1274">
        <v>4</v>
      </c>
      <c r="J1274" t="s">
        <v>1478</v>
      </c>
      <c r="K1274" t="s">
        <v>1479</v>
      </c>
      <c r="L1274">
        <v>4</v>
      </c>
      <c r="M1274" t="s">
        <v>16</v>
      </c>
      <c r="N1274">
        <v>7</v>
      </c>
      <c r="O1274" t="s">
        <v>13</v>
      </c>
      <c r="P1274">
        <v>21</v>
      </c>
      <c r="Q1274" s="4">
        <v>45637</v>
      </c>
      <c r="R1274" s="4"/>
      <c r="S1274" t="str">
        <f>TEXT(Table1[[#This Row],[Hiring Date]],"mmmm")</f>
        <v>December</v>
      </c>
      <c r="T1274" s="1">
        <f>COUNTIF(S:S,Table1[[#This Row],[Months List]])</f>
        <v>0</v>
      </c>
      <c r="U1274" t="str">
        <f>TEXT(Table1[[#This Row],[Hiring Date]],"dddd")</f>
        <v>Wednesday</v>
      </c>
      <c r="V1274" s="1" t="str">
        <f>TEXT(Table1[[#This Row],[Hiring Date]],"yyyy")</f>
        <v>2024</v>
      </c>
    </row>
    <row r="1275" spans="1:22">
      <c r="A1275" t="s">
        <v>832</v>
      </c>
      <c r="B1275">
        <v>40</v>
      </c>
      <c r="C1275">
        <v>1308</v>
      </c>
      <c r="D1275" t="s">
        <v>14</v>
      </c>
      <c r="E1275" t="s">
        <v>1495</v>
      </c>
      <c r="F1275" t="s">
        <v>1496</v>
      </c>
      <c r="G1275">
        <v>44</v>
      </c>
      <c r="H1275">
        <v>2</v>
      </c>
      <c r="I1275">
        <v>5</v>
      </c>
      <c r="J1275" t="s">
        <v>1487</v>
      </c>
      <c r="K1275" t="s">
        <v>1488</v>
      </c>
      <c r="L1275">
        <v>3</v>
      </c>
      <c r="M1275" t="s">
        <v>12</v>
      </c>
      <c r="N1275">
        <v>1</v>
      </c>
      <c r="O1275" t="s">
        <v>13</v>
      </c>
      <c r="P1275">
        <v>21</v>
      </c>
      <c r="Q1275" s="4">
        <v>45880</v>
      </c>
      <c r="R1275" s="4"/>
      <c r="S1275" t="str">
        <f>TEXT(Table1[[#This Row],[Hiring Date]],"mmmm")</f>
        <v>August</v>
      </c>
      <c r="T1275" s="1">
        <f>COUNTIF(S:S,Table1[[#This Row],[Months List]])</f>
        <v>0</v>
      </c>
      <c r="U1275" t="str">
        <f>TEXT(Table1[[#This Row],[Hiring Date]],"dddd")</f>
        <v>Monday</v>
      </c>
      <c r="V1275" s="1" t="str">
        <f>TEXT(Table1[[#This Row],[Hiring Date]],"yyyy")</f>
        <v>2025</v>
      </c>
    </row>
    <row r="1276" spans="1:22">
      <c r="A1276" t="s">
        <v>833</v>
      </c>
      <c r="B1276">
        <v>21</v>
      </c>
      <c r="C1276">
        <v>984</v>
      </c>
      <c r="D1276" t="s">
        <v>14</v>
      </c>
      <c r="E1276" t="s">
        <v>1501</v>
      </c>
      <c r="F1276" t="s">
        <v>1499</v>
      </c>
      <c r="G1276">
        <v>70</v>
      </c>
      <c r="H1276">
        <v>2</v>
      </c>
      <c r="I1276">
        <v>1</v>
      </c>
      <c r="J1276" t="s">
        <v>1476</v>
      </c>
      <c r="K1276" t="s">
        <v>1477</v>
      </c>
      <c r="L1276">
        <v>2</v>
      </c>
      <c r="M1276" t="s">
        <v>12</v>
      </c>
      <c r="N1276">
        <v>1</v>
      </c>
      <c r="O1276" t="s">
        <v>10</v>
      </c>
      <c r="P1276">
        <v>2</v>
      </c>
      <c r="Q1276" s="4">
        <v>45946</v>
      </c>
      <c r="R1276" s="4"/>
      <c r="S1276" t="str">
        <f>TEXT(Table1[[#This Row],[Hiring Date]],"mmmm")</f>
        <v>October</v>
      </c>
      <c r="T1276" s="1">
        <f>COUNTIF(S:S,Table1[[#This Row],[Months List]])</f>
        <v>0</v>
      </c>
      <c r="U1276" t="str">
        <f>TEXT(Table1[[#This Row],[Hiring Date]],"dddd")</f>
        <v>Thursday</v>
      </c>
      <c r="V1276" s="1" t="str">
        <f>TEXT(Table1[[#This Row],[Hiring Date]],"yyyy")</f>
        <v>2025</v>
      </c>
    </row>
    <row r="1277" spans="1:22">
      <c r="A1277" t="s">
        <v>834</v>
      </c>
      <c r="B1277">
        <v>39</v>
      </c>
      <c r="C1277">
        <v>439</v>
      </c>
      <c r="D1277" t="s">
        <v>14</v>
      </c>
      <c r="E1277" t="s">
        <v>1497</v>
      </c>
      <c r="F1277" t="s">
        <v>1496</v>
      </c>
      <c r="G1277">
        <v>70</v>
      </c>
      <c r="H1277">
        <v>3</v>
      </c>
      <c r="I1277">
        <v>2</v>
      </c>
      <c r="J1277" t="s">
        <v>1484</v>
      </c>
      <c r="K1277" t="s">
        <v>1485</v>
      </c>
      <c r="L1277">
        <v>2</v>
      </c>
      <c r="M1277" t="s">
        <v>12</v>
      </c>
      <c r="N1277">
        <v>9</v>
      </c>
      <c r="O1277" t="s">
        <v>13</v>
      </c>
      <c r="P1277">
        <v>9</v>
      </c>
      <c r="Q1277" s="4">
        <v>45987</v>
      </c>
      <c r="R1277" s="4"/>
      <c r="S1277" t="str">
        <f>TEXT(Table1[[#This Row],[Hiring Date]],"mmmm")</f>
        <v>November</v>
      </c>
      <c r="T1277" s="1">
        <f>COUNTIF(S:S,Table1[[#This Row],[Months List]])</f>
        <v>0</v>
      </c>
      <c r="U1277" t="str">
        <f>TEXT(Table1[[#This Row],[Hiring Date]],"dddd")</f>
        <v>Wednesday</v>
      </c>
      <c r="V1277" s="1" t="str">
        <f>TEXT(Table1[[#This Row],[Hiring Date]],"yyyy")</f>
        <v>2025</v>
      </c>
    </row>
    <row r="1278" spans="1:22">
      <c r="A1278" t="s">
        <v>835</v>
      </c>
      <c r="B1278">
        <v>36</v>
      </c>
      <c r="C1278">
        <v>217</v>
      </c>
      <c r="D1278" t="s">
        <v>14</v>
      </c>
      <c r="E1278" t="s">
        <v>1497</v>
      </c>
      <c r="F1278" t="s">
        <v>1496</v>
      </c>
      <c r="G1278">
        <v>78</v>
      </c>
      <c r="H1278">
        <v>3</v>
      </c>
      <c r="I1278">
        <v>2</v>
      </c>
      <c r="J1278" t="s">
        <v>1480</v>
      </c>
      <c r="K1278" t="s">
        <v>1481</v>
      </c>
      <c r="L1278">
        <v>4</v>
      </c>
      <c r="M1278" t="s">
        <v>12</v>
      </c>
      <c r="N1278">
        <v>2</v>
      </c>
      <c r="O1278" t="s">
        <v>13</v>
      </c>
      <c r="P1278">
        <v>18</v>
      </c>
      <c r="Q1278" s="4">
        <v>45863</v>
      </c>
      <c r="R1278" s="4"/>
      <c r="S1278" t="str">
        <f>TEXT(Table1[[#This Row],[Hiring Date]],"mmmm")</f>
        <v>July</v>
      </c>
      <c r="T1278" s="1">
        <f>COUNTIF(S:S,Table1[[#This Row],[Months List]])</f>
        <v>0</v>
      </c>
      <c r="U1278" t="str">
        <f>TEXT(Table1[[#This Row],[Hiring Date]],"dddd")</f>
        <v>Friday</v>
      </c>
      <c r="V1278" s="1" t="str">
        <f>TEXT(Table1[[#This Row],[Hiring Date]],"yyyy")</f>
        <v>2025</v>
      </c>
    </row>
    <row r="1279" spans="1:22">
      <c r="A1279" t="s">
        <v>836</v>
      </c>
      <c r="B1279">
        <v>31</v>
      </c>
      <c r="C1279">
        <v>793</v>
      </c>
      <c r="D1279" t="s">
        <v>11</v>
      </c>
      <c r="E1279" t="s">
        <v>1497</v>
      </c>
      <c r="F1279" t="s">
        <v>1496</v>
      </c>
      <c r="G1279">
        <v>67</v>
      </c>
      <c r="H1279">
        <v>4</v>
      </c>
      <c r="I1279">
        <v>1</v>
      </c>
      <c r="J1279" t="s">
        <v>1489</v>
      </c>
      <c r="K1279" t="s">
        <v>1490</v>
      </c>
      <c r="L1279">
        <v>4</v>
      </c>
      <c r="M1279" t="s">
        <v>15</v>
      </c>
      <c r="N1279">
        <v>0</v>
      </c>
      <c r="O1279" t="s">
        <v>13</v>
      </c>
      <c r="P1279">
        <v>3</v>
      </c>
      <c r="Q1279" s="4">
        <v>45953</v>
      </c>
      <c r="R1279" s="4"/>
      <c r="S1279" t="str">
        <f>TEXT(Table1[[#This Row],[Hiring Date]],"mmmm")</f>
        <v>October</v>
      </c>
      <c r="T1279" s="1">
        <f>COUNTIF(S:S,Table1[[#This Row],[Months List]])</f>
        <v>0</v>
      </c>
      <c r="U1279" t="str">
        <f>TEXT(Table1[[#This Row],[Hiring Date]],"dddd")</f>
        <v>Thursday</v>
      </c>
      <c r="V1279" s="1" t="str">
        <f>TEXT(Table1[[#This Row],[Hiring Date]],"yyyy")</f>
        <v>2025</v>
      </c>
    </row>
    <row r="1280" spans="1:22">
      <c r="A1280" t="s">
        <v>90</v>
      </c>
      <c r="B1280">
        <v>31</v>
      </c>
      <c r="C1280">
        <v>1082</v>
      </c>
      <c r="D1280" t="s">
        <v>14</v>
      </c>
      <c r="E1280" t="s">
        <v>1495</v>
      </c>
      <c r="F1280" t="s">
        <v>1496</v>
      </c>
      <c r="G1280">
        <v>87</v>
      </c>
      <c r="H1280">
        <v>3</v>
      </c>
      <c r="I1280">
        <v>1</v>
      </c>
      <c r="J1280" t="s">
        <v>1476</v>
      </c>
      <c r="K1280" t="s">
        <v>1477</v>
      </c>
      <c r="L1280">
        <v>2</v>
      </c>
      <c r="M1280" t="s">
        <v>12</v>
      </c>
      <c r="N1280">
        <v>1</v>
      </c>
      <c r="O1280" t="s">
        <v>13</v>
      </c>
      <c r="P1280">
        <v>1</v>
      </c>
      <c r="Q1280" s="4">
        <v>45743</v>
      </c>
      <c r="R1280" s="4"/>
      <c r="S1280" t="str">
        <f>TEXT(Table1[[#This Row],[Hiring Date]],"mmmm")</f>
        <v>March</v>
      </c>
      <c r="T1280" s="1">
        <f>COUNTIF(S:S,Table1[[#This Row],[Months List]])</f>
        <v>0</v>
      </c>
      <c r="U1280" t="str">
        <f>TEXT(Table1[[#This Row],[Hiring Date]],"dddd")</f>
        <v>Thursday</v>
      </c>
      <c r="V1280" s="1" t="str">
        <f>TEXT(Table1[[#This Row],[Hiring Date]],"yyyy")</f>
        <v>2025</v>
      </c>
    </row>
    <row r="1281" spans="1:22">
      <c r="A1281" t="s">
        <v>837</v>
      </c>
      <c r="B1281">
        <v>28</v>
      </c>
      <c r="C1281">
        <v>1451</v>
      </c>
      <c r="D1281" t="s">
        <v>14</v>
      </c>
      <c r="E1281" t="s">
        <v>1497</v>
      </c>
      <c r="F1281" t="s">
        <v>1496</v>
      </c>
      <c r="G1281">
        <v>67</v>
      </c>
      <c r="H1281">
        <v>2</v>
      </c>
      <c r="I1281">
        <v>1</v>
      </c>
      <c r="J1281" t="s">
        <v>1476</v>
      </c>
      <c r="K1281" t="s">
        <v>1477</v>
      </c>
      <c r="L1281">
        <v>2</v>
      </c>
      <c r="M1281" t="s">
        <v>15</v>
      </c>
      <c r="N1281">
        <v>0</v>
      </c>
      <c r="O1281" t="s">
        <v>13</v>
      </c>
      <c r="P1281">
        <v>6</v>
      </c>
      <c r="Q1281" s="4">
        <v>45687</v>
      </c>
      <c r="R1281" s="4"/>
      <c r="S1281" t="str">
        <f>TEXT(Table1[[#This Row],[Hiring Date]],"mmmm")</f>
        <v>January</v>
      </c>
      <c r="T1281" s="1">
        <f>COUNTIF(S:S,Table1[[#This Row],[Months List]])</f>
        <v>0</v>
      </c>
      <c r="U1281" t="str">
        <f>TEXT(Table1[[#This Row],[Hiring Date]],"dddd")</f>
        <v>Thursday</v>
      </c>
      <c r="V1281" s="1" t="str">
        <f>TEXT(Table1[[#This Row],[Hiring Date]],"yyyy")</f>
        <v>2025</v>
      </c>
    </row>
    <row r="1282" spans="1:22">
      <c r="A1282" t="s">
        <v>838</v>
      </c>
      <c r="B1282">
        <v>35</v>
      </c>
      <c r="C1282">
        <v>1182</v>
      </c>
      <c r="D1282" t="s">
        <v>11</v>
      </c>
      <c r="E1282" t="s">
        <v>1498</v>
      </c>
      <c r="F1282" t="s">
        <v>1496</v>
      </c>
      <c r="G1282">
        <v>54</v>
      </c>
      <c r="H1282">
        <v>3</v>
      </c>
      <c r="I1282">
        <v>2</v>
      </c>
      <c r="J1282" t="s">
        <v>1474</v>
      </c>
      <c r="K1282" t="s">
        <v>1475</v>
      </c>
      <c r="L1282">
        <v>4</v>
      </c>
      <c r="M1282" t="s">
        <v>16</v>
      </c>
      <c r="N1282">
        <v>1</v>
      </c>
      <c r="O1282" t="s">
        <v>13</v>
      </c>
      <c r="P1282">
        <v>5</v>
      </c>
      <c r="Q1282" s="4">
        <v>45731</v>
      </c>
      <c r="R1282" s="4"/>
      <c r="S1282" t="str">
        <f>TEXT(Table1[[#This Row],[Hiring Date]],"mmmm")</f>
        <v>March</v>
      </c>
      <c r="T1282" s="1">
        <f>COUNTIF(S:S,Table1[[#This Row],[Months List]])</f>
        <v>0</v>
      </c>
      <c r="U1282" t="str">
        <f>TEXT(Table1[[#This Row],[Hiring Date]],"dddd")</f>
        <v>Saturday</v>
      </c>
      <c r="V1282" s="1" t="str">
        <f>TEXT(Table1[[#This Row],[Hiring Date]],"yyyy")</f>
        <v>2025</v>
      </c>
    </row>
    <row r="1283" spans="1:22">
      <c r="A1283" t="s">
        <v>839</v>
      </c>
      <c r="B1283">
        <v>49</v>
      </c>
      <c r="C1283">
        <v>174</v>
      </c>
      <c r="D1283" t="s">
        <v>11</v>
      </c>
      <c r="E1283" t="s">
        <v>1501</v>
      </c>
      <c r="F1283" t="s">
        <v>1496</v>
      </c>
      <c r="G1283">
        <v>56</v>
      </c>
      <c r="H1283">
        <v>2</v>
      </c>
      <c r="I1283">
        <v>4</v>
      </c>
      <c r="J1283" t="s">
        <v>1474</v>
      </c>
      <c r="K1283" t="s">
        <v>1475</v>
      </c>
      <c r="L1283">
        <v>2</v>
      </c>
      <c r="M1283" t="s">
        <v>15</v>
      </c>
      <c r="N1283">
        <v>6</v>
      </c>
      <c r="O1283" t="s">
        <v>13</v>
      </c>
      <c r="P1283">
        <v>22</v>
      </c>
      <c r="Q1283" s="4">
        <v>45685</v>
      </c>
      <c r="R1283" s="4"/>
      <c r="S1283" t="str">
        <f>TEXT(Table1[[#This Row],[Hiring Date]],"mmmm")</f>
        <v>January</v>
      </c>
      <c r="T1283" s="1">
        <f>COUNTIF(S:S,Table1[[#This Row],[Months List]])</f>
        <v>0</v>
      </c>
      <c r="U1283" t="str">
        <f>TEXT(Table1[[#This Row],[Hiring Date]],"dddd")</f>
        <v>Tuesday</v>
      </c>
      <c r="V1283" s="1" t="str">
        <f>TEXT(Table1[[#This Row],[Hiring Date]],"yyyy")</f>
        <v>2025</v>
      </c>
    </row>
    <row r="1284" spans="1:22">
      <c r="A1284" t="s">
        <v>840</v>
      </c>
      <c r="B1284">
        <v>34</v>
      </c>
      <c r="C1284">
        <v>1003</v>
      </c>
      <c r="D1284" t="s">
        <v>14</v>
      </c>
      <c r="E1284" t="s">
        <v>1497</v>
      </c>
      <c r="F1284" t="s">
        <v>1496</v>
      </c>
      <c r="G1284">
        <v>95</v>
      </c>
      <c r="H1284">
        <v>3</v>
      </c>
      <c r="I1284">
        <v>2</v>
      </c>
      <c r="J1284" t="s">
        <v>1480</v>
      </c>
      <c r="K1284" t="s">
        <v>1481</v>
      </c>
      <c r="L1284">
        <v>3</v>
      </c>
      <c r="M1284" t="s">
        <v>12</v>
      </c>
      <c r="N1284">
        <v>2</v>
      </c>
      <c r="O1284" t="s">
        <v>13</v>
      </c>
      <c r="P1284">
        <v>5</v>
      </c>
      <c r="Q1284" s="4">
        <v>45752</v>
      </c>
      <c r="R1284" s="4"/>
      <c r="S1284" t="str">
        <f>TEXT(Table1[[#This Row],[Hiring Date]],"mmmm")</f>
        <v>April</v>
      </c>
      <c r="T1284" s="1">
        <f>COUNTIF(S:S,Table1[[#This Row],[Months List]])</f>
        <v>0</v>
      </c>
      <c r="U1284" t="str">
        <f>TEXT(Table1[[#This Row],[Hiring Date]],"dddd")</f>
        <v>Saturday</v>
      </c>
      <c r="V1284" s="1" t="str">
        <f>TEXT(Table1[[#This Row],[Hiring Date]],"yyyy")</f>
        <v>2025</v>
      </c>
    </row>
    <row r="1285" spans="1:22">
      <c r="A1285" t="s">
        <v>841</v>
      </c>
      <c r="B1285">
        <v>29</v>
      </c>
      <c r="C1285">
        <v>490</v>
      </c>
      <c r="D1285" t="s">
        <v>14</v>
      </c>
      <c r="E1285" t="s">
        <v>1497</v>
      </c>
      <c r="F1285" t="s">
        <v>1499</v>
      </c>
      <c r="G1285">
        <v>61</v>
      </c>
      <c r="H1285">
        <v>3</v>
      </c>
      <c r="I1285">
        <v>1</v>
      </c>
      <c r="J1285" t="s">
        <v>1476</v>
      </c>
      <c r="K1285" t="s">
        <v>1477</v>
      </c>
      <c r="L1285">
        <v>2</v>
      </c>
      <c r="M1285" t="s">
        <v>16</v>
      </c>
      <c r="N1285">
        <v>0</v>
      </c>
      <c r="O1285" t="s">
        <v>13</v>
      </c>
      <c r="P1285">
        <v>8</v>
      </c>
      <c r="Q1285" s="4">
        <v>45737</v>
      </c>
      <c r="R1285" s="4"/>
      <c r="S1285" t="str">
        <f>TEXT(Table1[[#This Row],[Hiring Date]],"mmmm")</f>
        <v>March</v>
      </c>
      <c r="T1285" s="1">
        <f>COUNTIF(S:S,Table1[[#This Row],[Months List]])</f>
        <v>0</v>
      </c>
      <c r="U1285" t="str">
        <f>TEXT(Table1[[#This Row],[Hiring Date]],"dddd")</f>
        <v>Friday</v>
      </c>
      <c r="V1285" s="1" t="str">
        <f>TEXT(Table1[[#This Row],[Hiring Date]],"yyyy")</f>
        <v>2025</v>
      </c>
    </row>
    <row r="1286" spans="1:22">
      <c r="A1286" t="s">
        <v>842</v>
      </c>
      <c r="B1286">
        <v>42</v>
      </c>
      <c r="C1286">
        <v>188</v>
      </c>
      <c r="D1286" t="s">
        <v>14</v>
      </c>
      <c r="E1286" t="s">
        <v>1495</v>
      </c>
      <c r="F1286" t="s">
        <v>1496</v>
      </c>
      <c r="G1286">
        <v>56</v>
      </c>
      <c r="H1286">
        <v>1</v>
      </c>
      <c r="I1286">
        <v>2</v>
      </c>
      <c r="J1286" t="s">
        <v>1484</v>
      </c>
      <c r="K1286" t="s">
        <v>1485</v>
      </c>
      <c r="L1286">
        <v>4</v>
      </c>
      <c r="M1286" t="s">
        <v>12</v>
      </c>
      <c r="N1286">
        <v>4</v>
      </c>
      <c r="O1286" t="s">
        <v>13</v>
      </c>
      <c r="P1286">
        <v>16</v>
      </c>
      <c r="Q1286" s="4">
        <v>45698</v>
      </c>
      <c r="R1286" s="4"/>
      <c r="S1286" t="str">
        <f>TEXT(Table1[[#This Row],[Hiring Date]],"mmmm")</f>
        <v>February</v>
      </c>
      <c r="T1286" s="1">
        <f>COUNTIF(S:S,Table1[[#This Row],[Months List]])</f>
        <v>0</v>
      </c>
      <c r="U1286" t="str">
        <f>TEXT(Table1[[#This Row],[Hiring Date]],"dddd")</f>
        <v>Monday</v>
      </c>
      <c r="V1286" s="1" t="str">
        <f>TEXT(Table1[[#This Row],[Hiring Date]],"yyyy")</f>
        <v>2025</v>
      </c>
    </row>
    <row r="1287" spans="1:22">
      <c r="A1287" t="s">
        <v>843</v>
      </c>
      <c r="B1287">
        <v>29</v>
      </c>
      <c r="C1287">
        <v>718</v>
      </c>
      <c r="D1287" t="s">
        <v>14</v>
      </c>
      <c r="E1287" t="s">
        <v>1495</v>
      </c>
      <c r="F1287" t="s">
        <v>1496</v>
      </c>
      <c r="G1287">
        <v>79</v>
      </c>
      <c r="H1287">
        <v>2</v>
      </c>
      <c r="I1287">
        <v>2</v>
      </c>
      <c r="J1287" t="s">
        <v>1480</v>
      </c>
      <c r="K1287" t="s">
        <v>1481</v>
      </c>
      <c r="L1287">
        <v>4</v>
      </c>
      <c r="M1287" t="s">
        <v>15</v>
      </c>
      <c r="N1287">
        <v>1</v>
      </c>
      <c r="O1287" t="s">
        <v>10</v>
      </c>
      <c r="P1287">
        <v>10</v>
      </c>
      <c r="Q1287" s="4">
        <v>45891</v>
      </c>
      <c r="R1287" s="4"/>
      <c r="S1287" t="str">
        <f>TEXT(Table1[[#This Row],[Hiring Date]],"mmmm")</f>
        <v>August</v>
      </c>
      <c r="T1287" s="1">
        <f>COUNTIF(S:S,Table1[[#This Row],[Months List]])</f>
        <v>0</v>
      </c>
      <c r="U1287" t="str">
        <f>TEXT(Table1[[#This Row],[Hiring Date]],"dddd")</f>
        <v>Friday</v>
      </c>
      <c r="V1287" s="1" t="str">
        <f>TEXT(Table1[[#This Row],[Hiring Date]],"yyyy")</f>
        <v>2025</v>
      </c>
    </row>
    <row r="1288" spans="1:22">
      <c r="A1288" t="s">
        <v>844</v>
      </c>
      <c r="B1288">
        <v>38</v>
      </c>
      <c r="C1288">
        <v>433</v>
      </c>
      <c r="D1288" t="s">
        <v>17</v>
      </c>
      <c r="E1288" t="s">
        <v>17</v>
      </c>
      <c r="F1288" t="s">
        <v>1496</v>
      </c>
      <c r="G1288">
        <v>37</v>
      </c>
      <c r="H1288">
        <v>4</v>
      </c>
      <c r="I1288">
        <v>1</v>
      </c>
      <c r="J1288" t="s">
        <v>1486</v>
      </c>
      <c r="K1288" t="s">
        <v>17</v>
      </c>
      <c r="L1288">
        <v>3</v>
      </c>
      <c r="M1288" t="s">
        <v>15</v>
      </c>
      <c r="N1288">
        <v>1</v>
      </c>
      <c r="O1288" t="s">
        <v>13</v>
      </c>
      <c r="P1288">
        <v>7</v>
      </c>
      <c r="Q1288" s="4">
        <v>45962</v>
      </c>
      <c r="R1288" s="4"/>
      <c r="S1288" t="str">
        <f>TEXT(Table1[[#This Row],[Hiring Date]],"mmmm")</f>
        <v>November</v>
      </c>
      <c r="T1288" s="1">
        <f>COUNTIF(S:S,Table1[[#This Row],[Months List]])</f>
        <v>0</v>
      </c>
      <c r="U1288" t="str">
        <f>TEXT(Table1[[#This Row],[Hiring Date]],"dddd")</f>
        <v>Saturday</v>
      </c>
      <c r="V1288" s="1" t="str">
        <f>TEXT(Table1[[#This Row],[Hiring Date]],"yyyy")</f>
        <v>2025</v>
      </c>
    </row>
    <row r="1289" spans="1:22">
      <c r="A1289" t="s">
        <v>845</v>
      </c>
      <c r="B1289">
        <v>28</v>
      </c>
      <c r="C1289">
        <v>773</v>
      </c>
      <c r="D1289" t="s">
        <v>14</v>
      </c>
      <c r="E1289" t="s">
        <v>1497</v>
      </c>
      <c r="F1289" t="s">
        <v>1496</v>
      </c>
      <c r="G1289">
        <v>39</v>
      </c>
      <c r="H1289">
        <v>2</v>
      </c>
      <c r="I1289">
        <v>1</v>
      </c>
      <c r="J1289" t="s">
        <v>1476</v>
      </c>
      <c r="K1289" t="s">
        <v>1477</v>
      </c>
      <c r="L1289">
        <v>3</v>
      </c>
      <c r="M1289" t="s">
        <v>16</v>
      </c>
      <c r="N1289">
        <v>1</v>
      </c>
      <c r="O1289" t="s">
        <v>10</v>
      </c>
      <c r="P1289">
        <v>3</v>
      </c>
      <c r="Q1289" s="4">
        <v>45812</v>
      </c>
      <c r="R1289" s="4"/>
      <c r="S1289" t="str">
        <f>TEXT(Table1[[#This Row],[Hiring Date]],"mmmm")</f>
        <v>June</v>
      </c>
      <c r="T1289" s="1">
        <f>COUNTIF(S:S,Table1[[#This Row],[Months List]])</f>
        <v>0</v>
      </c>
      <c r="U1289" t="str">
        <f>TEXT(Table1[[#This Row],[Hiring Date]],"dddd")</f>
        <v>Wednesday</v>
      </c>
      <c r="V1289" s="1" t="str">
        <f>TEXT(Table1[[#This Row],[Hiring Date]],"yyyy")</f>
        <v>2025</v>
      </c>
    </row>
    <row r="1290" spans="1:22">
      <c r="A1290" t="s">
        <v>846</v>
      </c>
      <c r="B1290">
        <v>18</v>
      </c>
      <c r="C1290">
        <v>247</v>
      </c>
      <c r="D1290" t="s">
        <v>14</v>
      </c>
      <c r="E1290" t="s">
        <v>1495</v>
      </c>
      <c r="F1290" t="s">
        <v>1496</v>
      </c>
      <c r="G1290">
        <v>80</v>
      </c>
      <c r="H1290">
        <v>3</v>
      </c>
      <c r="I1290">
        <v>1</v>
      </c>
      <c r="J1290" t="s">
        <v>1484</v>
      </c>
      <c r="K1290" t="s">
        <v>1485</v>
      </c>
      <c r="L1290">
        <v>3</v>
      </c>
      <c r="M1290" t="s">
        <v>12</v>
      </c>
      <c r="N1290">
        <v>1</v>
      </c>
      <c r="O1290" t="s">
        <v>13</v>
      </c>
      <c r="P1290">
        <v>0</v>
      </c>
      <c r="Q1290" s="4">
        <v>45933</v>
      </c>
      <c r="R1290" s="4"/>
      <c r="S1290" t="str">
        <f>TEXT(Table1[[#This Row],[Hiring Date]],"mmmm")</f>
        <v>October</v>
      </c>
      <c r="T1290" s="1">
        <f>COUNTIF(S:S,Table1[[#This Row],[Months List]])</f>
        <v>0</v>
      </c>
      <c r="U1290" t="str">
        <f>TEXT(Table1[[#This Row],[Hiring Date]],"dddd")</f>
        <v>Friday</v>
      </c>
      <c r="V1290" s="1" t="str">
        <f>TEXT(Table1[[#This Row],[Hiring Date]],"yyyy")</f>
        <v>2025</v>
      </c>
    </row>
    <row r="1291" spans="1:22">
      <c r="A1291" t="s">
        <v>91</v>
      </c>
      <c r="B1291">
        <v>32</v>
      </c>
      <c r="C1291">
        <v>548</v>
      </c>
      <c r="D1291" t="s">
        <v>14</v>
      </c>
      <c r="E1291" t="s">
        <v>1497</v>
      </c>
      <c r="F1291" t="s">
        <v>1496</v>
      </c>
      <c r="G1291">
        <v>66</v>
      </c>
      <c r="H1291">
        <v>3</v>
      </c>
      <c r="I1291">
        <v>2</v>
      </c>
      <c r="J1291" t="s">
        <v>1476</v>
      </c>
      <c r="K1291" t="s">
        <v>1477</v>
      </c>
      <c r="L1291">
        <v>2</v>
      </c>
      <c r="M1291" t="s">
        <v>15</v>
      </c>
      <c r="N1291">
        <v>1</v>
      </c>
      <c r="O1291" t="s">
        <v>13</v>
      </c>
      <c r="P1291">
        <v>10</v>
      </c>
      <c r="Q1291" s="4">
        <v>45816</v>
      </c>
      <c r="R1291" s="4"/>
      <c r="S1291" t="str">
        <f>TEXT(Table1[[#This Row],[Hiring Date]],"mmmm")</f>
        <v>June</v>
      </c>
      <c r="T1291" s="1">
        <f>COUNTIF(S:S,Table1[[#This Row],[Months List]])</f>
        <v>0</v>
      </c>
      <c r="U1291" t="str">
        <f>TEXT(Table1[[#This Row],[Hiring Date]],"dddd")</f>
        <v>Sunday</v>
      </c>
      <c r="V1291" s="1" t="str">
        <f>TEXT(Table1[[#This Row],[Hiring Date]],"yyyy")</f>
        <v>2025</v>
      </c>
    </row>
    <row r="1292" spans="1:22">
      <c r="A1292" t="s">
        <v>847</v>
      </c>
      <c r="B1292">
        <v>33</v>
      </c>
      <c r="C1292">
        <v>603</v>
      </c>
      <c r="D1292" t="s">
        <v>11</v>
      </c>
      <c r="E1292" t="s">
        <v>1498</v>
      </c>
      <c r="F1292" t="s">
        <v>1499</v>
      </c>
      <c r="G1292">
        <v>77</v>
      </c>
      <c r="H1292">
        <v>3</v>
      </c>
      <c r="I1292">
        <v>2</v>
      </c>
      <c r="J1292" t="s">
        <v>1474</v>
      </c>
      <c r="K1292" t="s">
        <v>1475</v>
      </c>
      <c r="L1292">
        <v>1</v>
      </c>
      <c r="M1292" t="s">
        <v>12</v>
      </c>
      <c r="N1292">
        <v>0</v>
      </c>
      <c r="O1292" t="s">
        <v>10</v>
      </c>
      <c r="P1292">
        <v>6</v>
      </c>
      <c r="Q1292" s="4">
        <v>45772</v>
      </c>
      <c r="R1292" s="4"/>
      <c r="S1292" t="str">
        <f>TEXT(Table1[[#This Row],[Hiring Date]],"mmmm")</f>
        <v>April</v>
      </c>
      <c r="T1292" s="1">
        <f>COUNTIF(S:S,Table1[[#This Row],[Months List]])</f>
        <v>0</v>
      </c>
      <c r="U1292" t="str">
        <f>TEXT(Table1[[#This Row],[Hiring Date]],"dddd")</f>
        <v>Friday</v>
      </c>
      <c r="V1292" s="1" t="str">
        <f>TEXT(Table1[[#This Row],[Hiring Date]],"yyyy")</f>
        <v>2025</v>
      </c>
    </row>
    <row r="1293" spans="1:22">
      <c r="A1293" t="s">
        <v>848</v>
      </c>
      <c r="B1293">
        <v>41</v>
      </c>
      <c r="C1293">
        <v>167</v>
      </c>
      <c r="D1293" t="s">
        <v>14</v>
      </c>
      <c r="E1293" t="s">
        <v>1497</v>
      </c>
      <c r="F1293" t="s">
        <v>1496</v>
      </c>
      <c r="G1293">
        <v>46</v>
      </c>
      <c r="H1293">
        <v>3</v>
      </c>
      <c r="I1293">
        <v>1</v>
      </c>
      <c r="J1293" t="s">
        <v>1484</v>
      </c>
      <c r="K1293" t="s">
        <v>1485</v>
      </c>
      <c r="L1293">
        <v>4</v>
      </c>
      <c r="M1293" t="s">
        <v>15</v>
      </c>
      <c r="N1293">
        <v>3</v>
      </c>
      <c r="O1293" t="s">
        <v>10</v>
      </c>
      <c r="P1293">
        <v>6</v>
      </c>
      <c r="Q1293" s="4">
        <v>45955</v>
      </c>
      <c r="R1293" s="4"/>
      <c r="S1293" t="str">
        <f>TEXT(Table1[[#This Row],[Hiring Date]],"mmmm")</f>
        <v>October</v>
      </c>
      <c r="T1293" s="1">
        <f>COUNTIF(S:S,Table1[[#This Row],[Months List]])</f>
        <v>0</v>
      </c>
      <c r="U1293" t="str">
        <f>TEXT(Table1[[#This Row],[Hiring Date]],"dddd")</f>
        <v>Saturday</v>
      </c>
      <c r="V1293" s="1" t="str">
        <f>TEXT(Table1[[#This Row],[Hiring Date]],"yyyy")</f>
        <v>2025</v>
      </c>
    </row>
    <row r="1294" spans="1:22">
      <c r="A1294" t="s">
        <v>849</v>
      </c>
      <c r="B1294">
        <v>31</v>
      </c>
      <c r="C1294">
        <v>874</v>
      </c>
      <c r="D1294" t="s">
        <v>14</v>
      </c>
      <c r="E1294" t="s">
        <v>1495</v>
      </c>
      <c r="F1294" t="s">
        <v>1496</v>
      </c>
      <c r="G1294">
        <v>72</v>
      </c>
      <c r="H1294">
        <v>3</v>
      </c>
      <c r="I1294">
        <v>1</v>
      </c>
      <c r="J1294" t="s">
        <v>1484</v>
      </c>
      <c r="K1294" t="s">
        <v>1485</v>
      </c>
      <c r="L1294">
        <v>3</v>
      </c>
      <c r="M1294" t="s">
        <v>15</v>
      </c>
      <c r="N1294">
        <v>1</v>
      </c>
      <c r="O1294" t="s">
        <v>13</v>
      </c>
      <c r="P1294">
        <v>2</v>
      </c>
      <c r="Q1294" s="4">
        <v>45906</v>
      </c>
      <c r="R1294" s="4"/>
      <c r="S1294" t="str">
        <f>TEXT(Table1[[#This Row],[Hiring Date]],"mmmm")</f>
        <v>September</v>
      </c>
      <c r="T1294" s="1">
        <f>COUNTIF(S:S,Table1[[#This Row],[Months List]])</f>
        <v>0</v>
      </c>
      <c r="U1294" t="str">
        <f>TEXT(Table1[[#This Row],[Hiring Date]],"dddd")</f>
        <v>Saturday</v>
      </c>
      <c r="V1294" s="1" t="str">
        <f>TEXT(Table1[[#This Row],[Hiring Date]],"yyyy")</f>
        <v>2025</v>
      </c>
    </row>
    <row r="1295" spans="1:22">
      <c r="A1295" t="s">
        <v>850</v>
      </c>
      <c r="B1295">
        <v>37</v>
      </c>
      <c r="C1295">
        <v>367</v>
      </c>
      <c r="D1295" t="s">
        <v>14</v>
      </c>
      <c r="E1295" t="s">
        <v>1495</v>
      </c>
      <c r="F1295" t="s">
        <v>1499</v>
      </c>
      <c r="G1295">
        <v>52</v>
      </c>
      <c r="H1295">
        <v>2</v>
      </c>
      <c r="I1295">
        <v>2</v>
      </c>
      <c r="J1295" t="s">
        <v>1478</v>
      </c>
      <c r="K1295" t="s">
        <v>1479</v>
      </c>
      <c r="L1295">
        <v>4</v>
      </c>
      <c r="M1295" t="s">
        <v>16</v>
      </c>
      <c r="N1295">
        <v>7</v>
      </c>
      <c r="O1295" t="s">
        <v>13</v>
      </c>
      <c r="P1295">
        <v>9</v>
      </c>
      <c r="Q1295" s="4">
        <v>45749</v>
      </c>
      <c r="R1295" s="4"/>
      <c r="S1295" t="str">
        <f>TEXT(Table1[[#This Row],[Hiring Date]],"mmmm")</f>
        <v>April</v>
      </c>
      <c r="T1295" s="1">
        <f>COUNTIF(S:S,Table1[[#This Row],[Months List]])</f>
        <v>0</v>
      </c>
      <c r="U1295" t="str">
        <f>TEXT(Table1[[#This Row],[Hiring Date]],"dddd")</f>
        <v>Wednesday</v>
      </c>
      <c r="V1295" s="1" t="str">
        <f>TEXT(Table1[[#This Row],[Hiring Date]],"yyyy")</f>
        <v>2025</v>
      </c>
    </row>
    <row r="1296" spans="1:22">
      <c r="A1296" t="s">
        <v>851</v>
      </c>
      <c r="B1296">
        <v>27</v>
      </c>
      <c r="C1296">
        <v>199</v>
      </c>
      <c r="D1296" t="s">
        <v>14</v>
      </c>
      <c r="E1296" t="s">
        <v>1497</v>
      </c>
      <c r="F1296" t="s">
        <v>1496</v>
      </c>
      <c r="G1296">
        <v>55</v>
      </c>
      <c r="H1296">
        <v>2</v>
      </c>
      <c r="I1296">
        <v>1</v>
      </c>
      <c r="J1296" t="s">
        <v>1476</v>
      </c>
      <c r="K1296" t="s">
        <v>1477</v>
      </c>
      <c r="L1296">
        <v>3</v>
      </c>
      <c r="M1296" t="s">
        <v>15</v>
      </c>
      <c r="N1296">
        <v>1</v>
      </c>
      <c r="O1296" t="s">
        <v>13</v>
      </c>
      <c r="P1296">
        <v>4</v>
      </c>
      <c r="Q1296" s="4">
        <v>45801</v>
      </c>
      <c r="R1296" s="4"/>
      <c r="S1296" t="str">
        <f>TEXT(Table1[[#This Row],[Hiring Date]],"mmmm")</f>
        <v>May</v>
      </c>
      <c r="T1296" s="1">
        <f>COUNTIF(S:S,Table1[[#This Row],[Months List]])</f>
        <v>0</v>
      </c>
      <c r="U1296" t="str">
        <f>TEXT(Table1[[#This Row],[Hiring Date]],"dddd")</f>
        <v>Saturday</v>
      </c>
      <c r="V1296" s="1" t="str">
        <f>TEXT(Table1[[#This Row],[Hiring Date]],"yyyy")</f>
        <v>2025</v>
      </c>
    </row>
    <row r="1297" spans="1:22">
      <c r="A1297" t="s">
        <v>852</v>
      </c>
      <c r="B1297">
        <v>34</v>
      </c>
      <c r="C1297">
        <v>1400</v>
      </c>
      <c r="D1297" t="s">
        <v>11</v>
      </c>
      <c r="E1297" t="s">
        <v>1497</v>
      </c>
      <c r="F1297" t="s">
        <v>1499</v>
      </c>
      <c r="G1297">
        <v>70</v>
      </c>
      <c r="H1297">
        <v>3</v>
      </c>
      <c r="I1297">
        <v>2</v>
      </c>
      <c r="J1297" t="s">
        <v>1474</v>
      </c>
      <c r="K1297" t="s">
        <v>1475</v>
      </c>
      <c r="L1297">
        <v>3</v>
      </c>
      <c r="M1297" t="s">
        <v>15</v>
      </c>
      <c r="N1297">
        <v>1</v>
      </c>
      <c r="O1297" t="s">
        <v>13</v>
      </c>
      <c r="P1297">
        <v>6</v>
      </c>
      <c r="Q1297" s="4">
        <v>45843</v>
      </c>
      <c r="R1297" s="4"/>
      <c r="S1297" t="str">
        <f>TEXT(Table1[[#This Row],[Hiring Date]],"mmmm")</f>
        <v>July</v>
      </c>
      <c r="T1297" s="1">
        <f>COUNTIF(S:S,Table1[[#This Row],[Months List]])</f>
        <v>0</v>
      </c>
      <c r="U1297" t="str">
        <f>TEXT(Table1[[#This Row],[Hiring Date]],"dddd")</f>
        <v>Saturday</v>
      </c>
      <c r="V1297" s="1" t="str">
        <f>TEXT(Table1[[#This Row],[Hiring Date]],"yyyy")</f>
        <v>2025</v>
      </c>
    </row>
    <row r="1298" spans="1:22">
      <c r="A1298" t="s">
        <v>853</v>
      </c>
      <c r="B1298">
        <v>35</v>
      </c>
      <c r="C1298">
        <v>528</v>
      </c>
      <c r="D1298" t="s">
        <v>17</v>
      </c>
      <c r="E1298" t="s">
        <v>1501</v>
      </c>
      <c r="F1298" t="s">
        <v>1496</v>
      </c>
      <c r="G1298">
        <v>100</v>
      </c>
      <c r="H1298">
        <v>3</v>
      </c>
      <c r="I1298">
        <v>1</v>
      </c>
      <c r="J1298" t="s">
        <v>1486</v>
      </c>
      <c r="K1298" t="s">
        <v>17</v>
      </c>
      <c r="L1298">
        <v>3</v>
      </c>
      <c r="M1298" t="s">
        <v>12</v>
      </c>
      <c r="N1298">
        <v>1</v>
      </c>
      <c r="O1298" t="s">
        <v>13</v>
      </c>
      <c r="P1298">
        <v>6</v>
      </c>
      <c r="Q1298" s="4">
        <v>45896</v>
      </c>
      <c r="R1298" s="4"/>
      <c r="S1298" t="str">
        <f>TEXT(Table1[[#This Row],[Hiring Date]],"mmmm")</f>
        <v>August</v>
      </c>
      <c r="T1298" s="1">
        <f>COUNTIF(S:S,Table1[[#This Row],[Months List]])</f>
        <v>0</v>
      </c>
      <c r="U1298" t="str">
        <f>TEXT(Table1[[#This Row],[Hiring Date]],"dddd")</f>
        <v>Wednesday</v>
      </c>
      <c r="V1298" s="1" t="str">
        <f>TEXT(Table1[[#This Row],[Hiring Date]],"yyyy")</f>
        <v>2025</v>
      </c>
    </row>
    <row r="1299" spans="1:22">
      <c r="A1299" t="s">
        <v>854</v>
      </c>
      <c r="B1299">
        <v>29</v>
      </c>
      <c r="C1299">
        <v>408</v>
      </c>
      <c r="D1299" t="s">
        <v>11</v>
      </c>
      <c r="E1299" t="s">
        <v>1497</v>
      </c>
      <c r="F1299" t="s">
        <v>1499</v>
      </c>
      <c r="G1299">
        <v>45</v>
      </c>
      <c r="H1299">
        <v>2</v>
      </c>
      <c r="I1299">
        <v>3</v>
      </c>
      <c r="J1299" t="s">
        <v>1474</v>
      </c>
      <c r="K1299" t="s">
        <v>1475</v>
      </c>
      <c r="L1299">
        <v>1</v>
      </c>
      <c r="M1299" t="s">
        <v>15</v>
      </c>
      <c r="N1299">
        <v>1</v>
      </c>
      <c r="O1299" t="s">
        <v>13</v>
      </c>
      <c r="P1299">
        <v>11</v>
      </c>
      <c r="Q1299" s="4">
        <v>45879</v>
      </c>
      <c r="R1299" s="4"/>
      <c r="S1299" t="str">
        <f>TEXT(Table1[[#This Row],[Hiring Date]],"mmmm")</f>
        <v>August</v>
      </c>
      <c r="T1299" s="1">
        <f>COUNTIF(S:S,Table1[[#This Row],[Months List]])</f>
        <v>0</v>
      </c>
      <c r="U1299" t="str">
        <f>TEXT(Table1[[#This Row],[Hiring Date]],"dddd")</f>
        <v>Sunday</v>
      </c>
      <c r="V1299" s="1" t="str">
        <f>TEXT(Table1[[#This Row],[Hiring Date]],"yyyy")</f>
        <v>2025</v>
      </c>
    </row>
    <row r="1300" spans="1:22">
      <c r="A1300" t="s">
        <v>855</v>
      </c>
      <c r="B1300">
        <v>40</v>
      </c>
      <c r="C1300">
        <v>593</v>
      </c>
      <c r="D1300" t="s">
        <v>14</v>
      </c>
      <c r="E1300" t="s">
        <v>1495</v>
      </c>
      <c r="F1300" t="s">
        <v>1499</v>
      </c>
      <c r="G1300">
        <v>88</v>
      </c>
      <c r="H1300">
        <v>3</v>
      </c>
      <c r="I1300">
        <v>3</v>
      </c>
      <c r="J1300" t="s">
        <v>1487</v>
      </c>
      <c r="K1300" t="s">
        <v>1488</v>
      </c>
      <c r="L1300">
        <v>3</v>
      </c>
      <c r="M1300" t="s">
        <v>12</v>
      </c>
      <c r="N1300">
        <v>9</v>
      </c>
      <c r="O1300" t="s">
        <v>13</v>
      </c>
      <c r="P1300">
        <v>20</v>
      </c>
      <c r="Q1300" s="4">
        <v>45926</v>
      </c>
      <c r="R1300" s="4"/>
      <c r="S1300" t="str">
        <f>TEXT(Table1[[#This Row],[Hiring Date]],"mmmm")</f>
        <v>September</v>
      </c>
      <c r="T1300" s="1">
        <f>COUNTIF(S:S,Table1[[#This Row],[Months List]])</f>
        <v>0</v>
      </c>
      <c r="U1300" t="str">
        <f>TEXT(Table1[[#This Row],[Hiring Date]],"dddd")</f>
        <v>Friday</v>
      </c>
      <c r="V1300" s="1" t="str">
        <f>TEXT(Table1[[#This Row],[Hiring Date]],"yyyy")</f>
        <v>2025</v>
      </c>
    </row>
    <row r="1301" spans="1:22">
      <c r="A1301" t="s">
        <v>856</v>
      </c>
      <c r="B1301">
        <v>42</v>
      </c>
      <c r="C1301">
        <v>481</v>
      </c>
      <c r="D1301" t="s">
        <v>11</v>
      </c>
      <c r="E1301" t="s">
        <v>1497</v>
      </c>
      <c r="F1301" t="s">
        <v>1496</v>
      </c>
      <c r="G1301">
        <v>44</v>
      </c>
      <c r="H1301">
        <v>3</v>
      </c>
      <c r="I1301">
        <v>4</v>
      </c>
      <c r="J1301" t="s">
        <v>1474</v>
      </c>
      <c r="K1301" t="s">
        <v>1475</v>
      </c>
      <c r="L1301">
        <v>1</v>
      </c>
      <c r="M1301" t="s">
        <v>12</v>
      </c>
      <c r="N1301">
        <v>0</v>
      </c>
      <c r="O1301" t="s">
        <v>10</v>
      </c>
      <c r="P1301">
        <v>22</v>
      </c>
      <c r="Q1301" s="4">
        <v>45679</v>
      </c>
      <c r="R1301" s="4"/>
      <c r="S1301" t="str">
        <f>TEXT(Table1[[#This Row],[Hiring Date]],"mmmm")</f>
        <v>January</v>
      </c>
      <c r="T1301" s="1">
        <f>COUNTIF(S:S,Table1[[#This Row],[Months List]])</f>
        <v>0</v>
      </c>
      <c r="U1301" t="str">
        <f>TEXT(Table1[[#This Row],[Hiring Date]],"dddd")</f>
        <v>Wednesday</v>
      </c>
      <c r="V1301" s="1" t="str">
        <f>TEXT(Table1[[#This Row],[Hiring Date]],"yyyy")</f>
        <v>2025</v>
      </c>
    </row>
    <row r="1302" spans="1:22">
      <c r="A1302" t="s">
        <v>92</v>
      </c>
      <c r="B1302">
        <v>36</v>
      </c>
      <c r="C1302">
        <v>132</v>
      </c>
      <c r="D1302" t="s">
        <v>14</v>
      </c>
      <c r="E1302" t="s">
        <v>1497</v>
      </c>
      <c r="F1302" t="s">
        <v>1499</v>
      </c>
      <c r="G1302">
        <v>55</v>
      </c>
      <c r="H1302">
        <v>4</v>
      </c>
      <c r="I1302">
        <v>1</v>
      </c>
      <c r="J1302" t="s">
        <v>1484</v>
      </c>
      <c r="K1302" t="s">
        <v>1485</v>
      </c>
      <c r="L1302">
        <v>4</v>
      </c>
      <c r="M1302" t="s">
        <v>15</v>
      </c>
      <c r="N1302">
        <v>3</v>
      </c>
      <c r="O1302" t="s">
        <v>13</v>
      </c>
      <c r="P1302">
        <v>5</v>
      </c>
      <c r="Q1302" s="4">
        <v>45925</v>
      </c>
      <c r="R1302" s="4"/>
      <c r="S1302" t="str">
        <f>TEXT(Table1[[#This Row],[Hiring Date]],"mmmm")</f>
        <v>September</v>
      </c>
      <c r="T1302" s="1">
        <f>COUNTIF(S:S,Table1[[#This Row],[Months List]])</f>
        <v>0</v>
      </c>
      <c r="U1302" t="str">
        <f>TEXT(Table1[[#This Row],[Hiring Date]],"dddd")</f>
        <v>Thursday</v>
      </c>
      <c r="V1302" s="1" t="str">
        <f>TEXT(Table1[[#This Row],[Hiring Date]],"yyyy")</f>
        <v>2025</v>
      </c>
    </row>
    <row r="1303" spans="1:22">
      <c r="A1303" t="s">
        <v>857</v>
      </c>
      <c r="B1303">
        <v>42</v>
      </c>
      <c r="C1303">
        <v>647</v>
      </c>
      <c r="D1303" t="s">
        <v>11</v>
      </c>
      <c r="E1303" t="s">
        <v>1498</v>
      </c>
      <c r="F1303" t="s">
        <v>1496</v>
      </c>
      <c r="G1303">
        <v>45</v>
      </c>
      <c r="H1303">
        <v>3</v>
      </c>
      <c r="I1303">
        <v>2</v>
      </c>
      <c r="J1303" t="s">
        <v>1474</v>
      </c>
      <c r="K1303" t="s">
        <v>1475</v>
      </c>
      <c r="L1303">
        <v>1</v>
      </c>
      <c r="M1303" t="s">
        <v>12</v>
      </c>
      <c r="N1303">
        <v>7</v>
      </c>
      <c r="O1303" t="s">
        <v>13</v>
      </c>
      <c r="P1303">
        <v>9</v>
      </c>
      <c r="Q1303" s="4">
        <v>45729</v>
      </c>
      <c r="R1303" s="4"/>
      <c r="S1303" t="str">
        <f>TEXT(Table1[[#This Row],[Hiring Date]],"mmmm")</f>
        <v>March</v>
      </c>
      <c r="T1303" s="1">
        <f>COUNTIF(S:S,Table1[[#This Row],[Months List]])</f>
        <v>0</v>
      </c>
      <c r="U1303" t="str">
        <f>TEXT(Table1[[#This Row],[Hiring Date]],"dddd")</f>
        <v>Thursday</v>
      </c>
      <c r="V1303" s="1" t="str">
        <f>TEXT(Table1[[#This Row],[Hiring Date]],"yyyy")</f>
        <v>2025</v>
      </c>
    </row>
    <row r="1304" spans="1:22">
      <c r="A1304" t="s">
        <v>858</v>
      </c>
      <c r="B1304">
        <v>35</v>
      </c>
      <c r="C1304">
        <v>982</v>
      </c>
      <c r="D1304" t="s">
        <v>14</v>
      </c>
      <c r="E1304" t="s">
        <v>1495</v>
      </c>
      <c r="F1304" t="s">
        <v>1496</v>
      </c>
      <c r="G1304">
        <v>58</v>
      </c>
      <c r="H1304">
        <v>2</v>
      </c>
      <c r="I1304">
        <v>1</v>
      </c>
      <c r="J1304" t="s">
        <v>1484</v>
      </c>
      <c r="K1304" t="s">
        <v>1485</v>
      </c>
      <c r="L1304">
        <v>3</v>
      </c>
      <c r="M1304" t="s">
        <v>15</v>
      </c>
      <c r="N1304">
        <v>6</v>
      </c>
      <c r="O1304" t="s">
        <v>13</v>
      </c>
      <c r="P1304">
        <v>10</v>
      </c>
      <c r="Q1304" s="4">
        <v>45761</v>
      </c>
      <c r="R1304" s="4"/>
      <c r="S1304" t="str">
        <f>TEXT(Table1[[#This Row],[Hiring Date]],"mmmm")</f>
        <v>April</v>
      </c>
      <c r="T1304" s="1">
        <f>COUNTIF(S:S,Table1[[#This Row],[Months List]])</f>
        <v>0</v>
      </c>
      <c r="U1304" t="str">
        <f>TEXT(Table1[[#This Row],[Hiring Date]],"dddd")</f>
        <v>Monday</v>
      </c>
      <c r="V1304" s="1" t="str">
        <f>TEXT(Table1[[#This Row],[Hiring Date]],"yyyy")</f>
        <v>2025</v>
      </c>
    </row>
    <row r="1305" spans="1:22">
      <c r="A1305" t="s">
        <v>859</v>
      </c>
      <c r="B1305">
        <v>24</v>
      </c>
      <c r="C1305">
        <v>477</v>
      </c>
      <c r="D1305" t="s">
        <v>14</v>
      </c>
      <c r="E1305" t="s">
        <v>1495</v>
      </c>
      <c r="F1305" t="s">
        <v>1496</v>
      </c>
      <c r="G1305">
        <v>49</v>
      </c>
      <c r="H1305">
        <v>3</v>
      </c>
      <c r="I1305">
        <v>1</v>
      </c>
      <c r="J1305" t="s">
        <v>1484</v>
      </c>
      <c r="K1305" t="s">
        <v>1485</v>
      </c>
      <c r="L1305">
        <v>2</v>
      </c>
      <c r="M1305" t="s">
        <v>12</v>
      </c>
      <c r="N1305">
        <v>8</v>
      </c>
      <c r="O1305" t="s">
        <v>13</v>
      </c>
      <c r="P1305">
        <v>6</v>
      </c>
      <c r="Q1305" s="4">
        <v>45763</v>
      </c>
      <c r="R1305" s="4"/>
      <c r="S1305" t="str">
        <f>TEXT(Table1[[#This Row],[Hiring Date]],"mmmm")</f>
        <v>April</v>
      </c>
      <c r="T1305" s="1">
        <f>COUNTIF(S:S,Table1[[#This Row],[Months List]])</f>
        <v>0</v>
      </c>
      <c r="U1305" t="str">
        <f>TEXT(Table1[[#This Row],[Hiring Date]],"dddd")</f>
        <v>Wednesday</v>
      </c>
      <c r="V1305" s="1" t="str">
        <f>TEXT(Table1[[#This Row],[Hiring Date]],"yyyy")</f>
        <v>2025</v>
      </c>
    </row>
    <row r="1306" spans="1:22">
      <c r="A1306" t="s">
        <v>860</v>
      </c>
      <c r="B1306">
        <v>28</v>
      </c>
      <c r="C1306">
        <v>1485</v>
      </c>
      <c r="D1306" t="s">
        <v>14</v>
      </c>
      <c r="E1306" t="s">
        <v>1497</v>
      </c>
      <c r="F1306" t="s">
        <v>1499</v>
      </c>
      <c r="G1306">
        <v>79</v>
      </c>
      <c r="H1306">
        <v>3</v>
      </c>
      <c r="I1306">
        <v>1</v>
      </c>
      <c r="J1306" t="s">
        <v>1484</v>
      </c>
      <c r="K1306" t="s">
        <v>1485</v>
      </c>
      <c r="L1306">
        <v>4</v>
      </c>
      <c r="M1306" t="s">
        <v>15</v>
      </c>
      <c r="N1306">
        <v>1</v>
      </c>
      <c r="O1306" t="s">
        <v>10</v>
      </c>
      <c r="P1306">
        <v>1</v>
      </c>
      <c r="Q1306" s="4">
        <v>45993</v>
      </c>
      <c r="R1306" s="4"/>
      <c r="S1306" t="str">
        <f>TEXT(Table1[[#This Row],[Hiring Date]],"mmmm")</f>
        <v>December</v>
      </c>
      <c r="T1306" s="1">
        <f>COUNTIF(S:S,Table1[[#This Row],[Months List]])</f>
        <v>0</v>
      </c>
      <c r="U1306" t="str">
        <f>TEXT(Table1[[#This Row],[Hiring Date]],"dddd")</f>
        <v>Tuesday</v>
      </c>
      <c r="V1306" s="1" t="str">
        <f>TEXT(Table1[[#This Row],[Hiring Date]],"yyyy")</f>
        <v>2025</v>
      </c>
    </row>
    <row r="1307" spans="1:22">
      <c r="A1307" t="s">
        <v>861</v>
      </c>
      <c r="B1307">
        <v>26</v>
      </c>
      <c r="C1307">
        <v>1384</v>
      </c>
      <c r="D1307" t="s">
        <v>14</v>
      </c>
      <c r="E1307" t="s">
        <v>1495</v>
      </c>
      <c r="F1307" t="s">
        <v>1496</v>
      </c>
      <c r="G1307">
        <v>82</v>
      </c>
      <c r="H1307">
        <v>4</v>
      </c>
      <c r="I1307">
        <v>1</v>
      </c>
      <c r="J1307" t="s">
        <v>1484</v>
      </c>
      <c r="K1307" t="s">
        <v>1485</v>
      </c>
      <c r="L1307">
        <v>4</v>
      </c>
      <c r="M1307" t="s">
        <v>15</v>
      </c>
      <c r="N1307">
        <v>1</v>
      </c>
      <c r="O1307" t="s">
        <v>13</v>
      </c>
      <c r="P1307">
        <v>8</v>
      </c>
      <c r="Q1307" s="4">
        <v>45770</v>
      </c>
      <c r="R1307" s="4"/>
      <c r="S1307" t="str">
        <f>TEXT(Table1[[#This Row],[Hiring Date]],"mmmm")</f>
        <v>April</v>
      </c>
      <c r="T1307" s="1">
        <f>COUNTIF(S:S,Table1[[#This Row],[Months List]])</f>
        <v>0</v>
      </c>
      <c r="U1307" t="str">
        <f>TEXT(Table1[[#This Row],[Hiring Date]],"dddd")</f>
        <v>Wednesday</v>
      </c>
      <c r="V1307" s="1" t="str">
        <f>TEXT(Table1[[#This Row],[Hiring Date]],"yyyy")</f>
        <v>2025</v>
      </c>
    </row>
    <row r="1308" spans="1:22">
      <c r="A1308" t="s">
        <v>862</v>
      </c>
      <c r="B1308">
        <v>30</v>
      </c>
      <c r="C1308">
        <v>852</v>
      </c>
      <c r="D1308" t="s">
        <v>11</v>
      </c>
      <c r="E1308" t="s">
        <v>1498</v>
      </c>
      <c r="F1308" t="s">
        <v>1496</v>
      </c>
      <c r="G1308">
        <v>72</v>
      </c>
      <c r="H1308">
        <v>2</v>
      </c>
      <c r="I1308">
        <v>2</v>
      </c>
      <c r="J1308" t="s">
        <v>1474</v>
      </c>
      <c r="K1308" t="s">
        <v>1475</v>
      </c>
      <c r="L1308">
        <v>3</v>
      </c>
      <c r="M1308" t="s">
        <v>15</v>
      </c>
      <c r="N1308">
        <v>1</v>
      </c>
      <c r="O1308" t="s">
        <v>13</v>
      </c>
      <c r="P1308">
        <v>10</v>
      </c>
      <c r="Q1308" s="4">
        <v>45747</v>
      </c>
      <c r="R1308" s="4"/>
      <c r="S1308" t="str">
        <f>TEXT(Table1[[#This Row],[Hiring Date]],"mmmm")</f>
        <v>March</v>
      </c>
      <c r="T1308" s="1">
        <f>COUNTIF(S:S,Table1[[#This Row],[Months List]])</f>
        <v>0</v>
      </c>
      <c r="U1308" t="str">
        <f>TEXT(Table1[[#This Row],[Hiring Date]],"dddd")</f>
        <v>Monday</v>
      </c>
      <c r="V1308" s="1" t="str">
        <f>TEXT(Table1[[#This Row],[Hiring Date]],"yyyy")</f>
        <v>2025</v>
      </c>
    </row>
    <row r="1309" spans="1:22">
      <c r="A1309" t="s">
        <v>863</v>
      </c>
      <c r="B1309">
        <v>40</v>
      </c>
      <c r="C1309">
        <v>902</v>
      </c>
      <c r="D1309" t="s">
        <v>14</v>
      </c>
      <c r="E1309" t="s">
        <v>1495</v>
      </c>
      <c r="F1309" t="s">
        <v>1499</v>
      </c>
      <c r="G1309">
        <v>92</v>
      </c>
      <c r="H1309">
        <v>2</v>
      </c>
      <c r="I1309">
        <v>2</v>
      </c>
      <c r="J1309" t="s">
        <v>1476</v>
      </c>
      <c r="K1309" t="s">
        <v>1477</v>
      </c>
      <c r="L1309">
        <v>4</v>
      </c>
      <c r="M1309" t="s">
        <v>15</v>
      </c>
      <c r="N1309">
        <v>3</v>
      </c>
      <c r="O1309" t="s">
        <v>10</v>
      </c>
      <c r="P1309">
        <v>16</v>
      </c>
      <c r="Q1309" s="4">
        <v>45899</v>
      </c>
      <c r="R1309" s="4"/>
      <c r="S1309" t="str">
        <f>TEXT(Table1[[#This Row],[Hiring Date]],"mmmm")</f>
        <v>August</v>
      </c>
      <c r="T1309" s="1">
        <f>COUNTIF(S:S,Table1[[#This Row],[Months List]])</f>
        <v>0</v>
      </c>
      <c r="U1309" t="str">
        <f>TEXT(Table1[[#This Row],[Hiring Date]],"dddd")</f>
        <v>Saturday</v>
      </c>
      <c r="V1309" s="1" t="str">
        <f>TEXT(Table1[[#This Row],[Hiring Date]],"yyyy")</f>
        <v>2025</v>
      </c>
    </row>
    <row r="1310" spans="1:22">
      <c r="A1310" t="s">
        <v>864</v>
      </c>
      <c r="B1310">
        <v>35</v>
      </c>
      <c r="C1310">
        <v>819</v>
      </c>
      <c r="D1310" t="s">
        <v>14</v>
      </c>
      <c r="E1310" t="s">
        <v>1497</v>
      </c>
      <c r="F1310" t="s">
        <v>1496</v>
      </c>
      <c r="G1310">
        <v>44</v>
      </c>
      <c r="H1310">
        <v>2</v>
      </c>
      <c r="I1310">
        <v>3</v>
      </c>
      <c r="J1310" t="s">
        <v>1480</v>
      </c>
      <c r="K1310" t="s">
        <v>1481</v>
      </c>
      <c r="L1310">
        <v>2</v>
      </c>
      <c r="M1310" t="s">
        <v>16</v>
      </c>
      <c r="N1310">
        <v>2</v>
      </c>
      <c r="O1310" t="s">
        <v>13</v>
      </c>
      <c r="P1310">
        <v>15</v>
      </c>
      <c r="Q1310" s="4">
        <v>45864</v>
      </c>
      <c r="R1310" s="4"/>
      <c r="S1310" t="str">
        <f>TEXT(Table1[[#This Row],[Hiring Date]],"mmmm")</f>
        <v>July</v>
      </c>
      <c r="T1310" s="1">
        <f>COUNTIF(S:S,Table1[[#This Row],[Months List]])</f>
        <v>0</v>
      </c>
      <c r="U1310" t="str">
        <f>TEXT(Table1[[#This Row],[Hiring Date]],"dddd")</f>
        <v>Saturday</v>
      </c>
      <c r="V1310" s="1" t="str">
        <f>TEXT(Table1[[#This Row],[Hiring Date]],"yyyy")</f>
        <v>2025</v>
      </c>
    </row>
    <row r="1311" spans="1:22">
      <c r="A1311" t="s">
        <v>865</v>
      </c>
      <c r="B1311">
        <v>34</v>
      </c>
      <c r="C1311">
        <v>669</v>
      </c>
      <c r="D1311" t="s">
        <v>14</v>
      </c>
      <c r="E1311" t="s">
        <v>1495</v>
      </c>
      <c r="F1311" t="s">
        <v>1496</v>
      </c>
      <c r="G1311">
        <v>97</v>
      </c>
      <c r="H1311">
        <v>2</v>
      </c>
      <c r="I1311">
        <v>2</v>
      </c>
      <c r="J1311" t="s">
        <v>1478</v>
      </c>
      <c r="K1311" t="s">
        <v>1479</v>
      </c>
      <c r="L1311">
        <v>1</v>
      </c>
      <c r="M1311" t="s">
        <v>12</v>
      </c>
      <c r="N1311">
        <v>0</v>
      </c>
      <c r="O1311" t="s">
        <v>13</v>
      </c>
      <c r="P1311">
        <v>14</v>
      </c>
      <c r="Q1311" s="4">
        <v>45643</v>
      </c>
      <c r="R1311" s="4"/>
      <c r="S1311" t="str">
        <f>TEXT(Table1[[#This Row],[Hiring Date]],"mmmm")</f>
        <v>December</v>
      </c>
      <c r="T1311" s="1">
        <f>COUNTIF(S:S,Table1[[#This Row],[Months List]])</f>
        <v>0</v>
      </c>
      <c r="U1311" t="str">
        <f>TEXT(Table1[[#This Row],[Hiring Date]],"dddd")</f>
        <v>Tuesday</v>
      </c>
      <c r="V1311" s="1" t="str">
        <f>TEXT(Table1[[#This Row],[Hiring Date]],"yyyy")</f>
        <v>2024</v>
      </c>
    </row>
    <row r="1312" spans="1:22">
      <c r="A1312" t="s">
        <v>866</v>
      </c>
      <c r="B1312">
        <v>35</v>
      </c>
      <c r="C1312">
        <v>636</v>
      </c>
      <c r="D1312" t="s">
        <v>14</v>
      </c>
      <c r="E1312" t="s">
        <v>1500</v>
      </c>
      <c r="F1312" t="s">
        <v>1496</v>
      </c>
      <c r="G1312">
        <v>47</v>
      </c>
      <c r="H1312">
        <v>2</v>
      </c>
      <c r="I1312">
        <v>1</v>
      </c>
      <c r="J1312" t="s">
        <v>1484</v>
      </c>
      <c r="K1312" t="s">
        <v>1485</v>
      </c>
      <c r="L1312">
        <v>4</v>
      </c>
      <c r="M1312" t="s">
        <v>15</v>
      </c>
      <c r="N1312">
        <v>1</v>
      </c>
      <c r="O1312" t="s">
        <v>13</v>
      </c>
      <c r="P1312">
        <v>2</v>
      </c>
      <c r="Q1312" s="4">
        <v>45872</v>
      </c>
      <c r="R1312" s="4"/>
      <c r="S1312" t="str">
        <f>TEXT(Table1[[#This Row],[Hiring Date]],"mmmm")</f>
        <v>August</v>
      </c>
      <c r="T1312" s="1">
        <f>COUNTIF(S:S,Table1[[#This Row],[Months List]])</f>
        <v>0</v>
      </c>
      <c r="U1312" t="str">
        <f>TEXT(Table1[[#This Row],[Hiring Date]],"dddd")</f>
        <v>Sunday</v>
      </c>
      <c r="V1312" s="1" t="str">
        <f>TEXT(Table1[[#This Row],[Hiring Date]],"yyyy")</f>
        <v>2025</v>
      </c>
    </row>
    <row r="1313" spans="1:22">
      <c r="A1313" t="s">
        <v>93</v>
      </c>
      <c r="B1313">
        <v>31</v>
      </c>
      <c r="C1313">
        <v>746</v>
      </c>
      <c r="D1313" t="s">
        <v>14</v>
      </c>
      <c r="E1313" t="s">
        <v>1497</v>
      </c>
      <c r="F1313" t="s">
        <v>1499</v>
      </c>
      <c r="G1313">
        <v>61</v>
      </c>
      <c r="H1313">
        <v>3</v>
      </c>
      <c r="I1313">
        <v>2</v>
      </c>
      <c r="J1313" t="s">
        <v>1480</v>
      </c>
      <c r="K1313" t="s">
        <v>1481</v>
      </c>
      <c r="L1313">
        <v>4</v>
      </c>
      <c r="M1313" t="s">
        <v>12</v>
      </c>
      <c r="N1313">
        <v>1</v>
      </c>
      <c r="O1313" t="s">
        <v>13</v>
      </c>
      <c r="P1313">
        <v>11</v>
      </c>
      <c r="Q1313" s="4">
        <v>45964</v>
      </c>
      <c r="R1313" s="4"/>
      <c r="S1313" t="str">
        <f>TEXT(Table1[[#This Row],[Hiring Date]],"mmmm")</f>
        <v>November</v>
      </c>
      <c r="T1313" s="1">
        <f>COUNTIF(S:S,Table1[[#This Row],[Months List]])</f>
        <v>0</v>
      </c>
      <c r="U1313" t="str">
        <f>TEXT(Table1[[#This Row],[Hiring Date]],"dddd")</f>
        <v>Monday</v>
      </c>
      <c r="V1313" s="1" t="str">
        <f>TEXT(Table1[[#This Row],[Hiring Date]],"yyyy")</f>
        <v>2025</v>
      </c>
    </row>
    <row r="1314" spans="1:22">
      <c r="A1314" t="s">
        <v>867</v>
      </c>
      <c r="B1314">
        <v>43</v>
      </c>
      <c r="C1314">
        <v>1372</v>
      </c>
      <c r="D1314" t="s">
        <v>11</v>
      </c>
      <c r="E1314" t="s">
        <v>1498</v>
      </c>
      <c r="F1314" t="s">
        <v>1499</v>
      </c>
      <c r="G1314">
        <v>85</v>
      </c>
      <c r="H1314">
        <v>1</v>
      </c>
      <c r="I1314">
        <v>2</v>
      </c>
      <c r="J1314" t="s">
        <v>1474</v>
      </c>
      <c r="K1314" t="s">
        <v>1475</v>
      </c>
      <c r="L1314">
        <v>3</v>
      </c>
      <c r="M1314" t="s">
        <v>12</v>
      </c>
      <c r="N1314">
        <v>8</v>
      </c>
      <c r="O1314" t="s">
        <v>13</v>
      </c>
      <c r="P1314">
        <v>7</v>
      </c>
      <c r="Q1314" s="4">
        <v>45908</v>
      </c>
      <c r="R1314" s="4"/>
      <c r="S1314" t="str">
        <f>TEXT(Table1[[#This Row],[Hiring Date]],"mmmm")</f>
        <v>September</v>
      </c>
      <c r="T1314" s="1">
        <f>COUNTIF(S:S,Table1[[#This Row],[Months List]])</f>
        <v>0</v>
      </c>
      <c r="U1314" t="str">
        <f>TEXT(Table1[[#This Row],[Hiring Date]],"dddd")</f>
        <v>Monday</v>
      </c>
      <c r="V1314" s="1" t="str">
        <f>TEXT(Table1[[#This Row],[Hiring Date]],"yyyy")</f>
        <v>2025</v>
      </c>
    </row>
    <row r="1315" spans="1:22">
      <c r="A1315" t="s">
        <v>868</v>
      </c>
      <c r="B1315">
        <v>32</v>
      </c>
      <c r="C1315">
        <v>862</v>
      </c>
      <c r="D1315" t="s">
        <v>11</v>
      </c>
      <c r="E1315" t="s">
        <v>1497</v>
      </c>
      <c r="F1315" t="s">
        <v>1499</v>
      </c>
      <c r="G1315">
        <v>76</v>
      </c>
      <c r="H1315">
        <v>3</v>
      </c>
      <c r="I1315">
        <v>1</v>
      </c>
      <c r="J1315" t="s">
        <v>1489</v>
      </c>
      <c r="K1315" t="s">
        <v>1490</v>
      </c>
      <c r="L1315">
        <v>1</v>
      </c>
      <c r="M1315" t="s">
        <v>16</v>
      </c>
      <c r="N1315">
        <v>1</v>
      </c>
      <c r="O1315" t="s">
        <v>13</v>
      </c>
      <c r="P1315">
        <v>1</v>
      </c>
      <c r="Q1315" s="4">
        <v>45721</v>
      </c>
      <c r="R1315" s="4"/>
      <c r="S1315" t="str">
        <f>TEXT(Table1[[#This Row],[Hiring Date]],"mmmm")</f>
        <v>March</v>
      </c>
      <c r="T1315" s="1">
        <f>COUNTIF(S:S,Table1[[#This Row],[Months List]])</f>
        <v>0</v>
      </c>
      <c r="U1315" t="str">
        <f>TEXT(Table1[[#This Row],[Hiring Date]],"dddd")</f>
        <v>Wednesday</v>
      </c>
      <c r="V1315" s="1" t="str">
        <f>TEXT(Table1[[#This Row],[Hiring Date]],"yyyy")</f>
        <v>2025</v>
      </c>
    </row>
    <row r="1316" spans="1:22">
      <c r="A1316" t="s">
        <v>869</v>
      </c>
      <c r="B1316">
        <v>56</v>
      </c>
      <c r="C1316">
        <v>718</v>
      </c>
      <c r="D1316" t="s">
        <v>14</v>
      </c>
      <c r="E1316" t="s">
        <v>1501</v>
      </c>
      <c r="F1316" t="s">
        <v>1499</v>
      </c>
      <c r="G1316">
        <v>92</v>
      </c>
      <c r="H1316">
        <v>3</v>
      </c>
      <c r="I1316">
        <v>5</v>
      </c>
      <c r="J1316" t="s">
        <v>1482</v>
      </c>
      <c r="K1316" t="s">
        <v>1483</v>
      </c>
      <c r="L1316">
        <v>1</v>
      </c>
      <c r="M1316" t="s">
        <v>16</v>
      </c>
      <c r="N1316">
        <v>4</v>
      </c>
      <c r="O1316" t="s">
        <v>13</v>
      </c>
      <c r="P1316">
        <v>28</v>
      </c>
      <c r="Q1316" s="4">
        <v>45947</v>
      </c>
      <c r="R1316" s="4"/>
      <c r="S1316" t="str">
        <f>TEXT(Table1[[#This Row],[Hiring Date]],"mmmm")</f>
        <v>October</v>
      </c>
      <c r="T1316" s="1">
        <f>COUNTIF(S:S,Table1[[#This Row],[Months List]])</f>
        <v>0</v>
      </c>
      <c r="U1316" t="str">
        <f>TEXT(Table1[[#This Row],[Hiring Date]],"dddd")</f>
        <v>Friday</v>
      </c>
      <c r="V1316" s="1" t="str">
        <f>TEXT(Table1[[#This Row],[Hiring Date]],"yyyy")</f>
        <v>2025</v>
      </c>
    </row>
    <row r="1317" spans="1:22">
      <c r="A1317" t="s">
        <v>870</v>
      </c>
      <c r="B1317">
        <v>29</v>
      </c>
      <c r="C1317">
        <v>1401</v>
      </c>
      <c r="D1317" t="s">
        <v>14</v>
      </c>
      <c r="E1317" t="s">
        <v>1495</v>
      </c>
      <c r="F1317" t="s">
        <v>1499</v>
      </c>
      <c r="G1317">
        <v>54</v>
      </c>
      <c r="H1317">
        <v>3</v>
      </c>
      <c r="I1317">
        <v>1</v>
      </c>
      <c r="J1317" t="s">
        <v>1484</v>
      </c>
      <c r="K1317" t="s">
        <v>1485</v>
      </c>
      <c r="L1317">
        <v>4</v>
      </c>
      <c r="M1317" t="s">
        <v>15</v>
      </c>
      <c r="N1317">
        <v>1</v>
      </c>
      <c r="O1317" t="s">
        <v>13</v>
      </c>
      <c r="P1317">
        <v>10</v>
      </c>
      <c r="Q1317" s="4">
        <v>45809</v>
      </c>
      <c r="R1317" s="4"/>
      <c r="S1317" t="str">
        <f>TEXT(Table1[[#This Row],[Hiring Date]],"mmmm")</f>
        <v>June</v>
      </c>
      <c r="T1317" s="1">
        <f>COUNTIF(S:S,Table1[[#This Row],[Months List]])</f>
        <v>0</v>
      </c>
      <c r="U1317" t="str">
        <f>TEXT(Table1[[#This Row],[Hiring Date]],"dddd")</f>
        <v>Sunday</v>
      </c>
      <c r="V1317" s="1" t="str">
        <f>TEXT(Table1[[#This Row],[Hiring Date]],"yyyy")</f>
        <v>2025</v>
      </c>
    </row>
    <row r="1318" spans="1:22">
      <c r="A1318" t="s">
        <v>871</v>
      </c>
      <c r="B1318">
        <v>19</v>
      </c>
      <c r="C1318">
        <v>645</v>
      </c>
      <c r="D1318" t="s">
        <v>14</v>
      </c>
      <c r="E1318" t="s">
        <v>1497</v>
      </c>
      <c r="F1318" t="s">
        <v>1496</v>
      </c>
      <c r="G1318">
        <v>54</v>
      </c>
      <c r="H1318">
        <v>3</v>
      </c>
      <c r="I1318">
        <v>1</v>
      </c>
      <c r="J1318" t="s">
        <v>1476</v>
      </c>
      <c r="K1318" t="s">
        <v>1477</v>
      </c>
      <c r="L1318">
        <v>1</v>
      </c>
      <c r="M1318" t="s">
        <v>12</v>
      </c>
      <c r="N1318">
        <v>1</v>
      </c>
      <c r="O1318" t="s">
        <v>13</v>
      </c>
      <c r="P1318">
        <v>1</v>
      </c>
      <c r="Q1318" s="4">
        <v>45770</v>
      </c>
      <c r="R1318" s="4"/>
      <c r="S1318" t="str">
        <f>TEXT(Table1[[#This Row],[Hiring Date]],"mmmm")</f>
        <v>April</v>
      </c>
      <c r="T1318" s="1">
        <f>COUNTIF(S:S,Table1[[#This Row],[Months List]])</f>
        <v>0</v>
      </c>
      <c r="U1318" t="str">
        <f>TEXT(Table1[[#This Row],[Hiring Date]],"dddd")</f>
        <v>Wednesday</v>
      </c>
      <c r="V1318" s="1" t="str">
        <f>TEXT(Table1[[#This Row],[Hiring Date]],"yyyy")</f>
        <v>2025</v>
      </c>
    </row>
    <row r="1319" spans="1:22">
      <c r="A1319" t="s">
        <v>872</v>
      </c>
      <c r="B1319">
        <v>45</v>
      </c>
      <c r="C1319">
        <v>1457</v>
      </c>
      <c r="D1319" t="s">
        <v>14</v>
      </c>
      <c r="E1319" t="s">
        <v>1495</v>
      </c>
      <c r="F1319" t="s">
        <v>1499</v>
      </c>
      <c r="G1319">
        <v>83</v>
      </c>
      <c r="H1319">
        <v>3</v>
      </c>
      <c r="I1319">
        <v>1</v>
      </c>
      <c r="J1319" t="s">
        <v>1476</v>
      </c>
      <c r="K1319" t="s">
        <v>1477</v>
      </c>
      <c r="L1319">
        <v>3</v>
      </c>
      <c r="M1319" t="s">
        <v>15</v>
      </c>
      <c r="N1319">
        <v>4</v>
      </c>
      <c r="O1319" t="s">
        <v>10</v>
      </c>
      <c r="P1319">
        <v>7</v>
      </c>
      <c r="Q1319" s="4">
        <v>45718</v>
      </c>
      <c r="R1319" s="4"/>
      <c r="S1319" t="str">
        <f>TEXT(Table1[[#This Row],[Hiring Date]],"mmmm")</f>
        <v>March</v>
      </c>
      <c r="T1319" s="1">
        <f>COUNTIF(S:S,Table1[[#This Row],[Months List]])</f>
        <v>0</v>
      </c>
      <c r="U1319" t="str">
        <f>TEXT(Table1[[#This Row],[Hiring Date]],"dddd")</f>
        <v>Sunday</v>
      </c>
      <c r="V1319" s="1" t="str">
        <f>TEXT(Table1[[#This Row],[Hiring Date]],"yyyy")</f>
        <v>2025</v>
      </c>
    </row>
    <row r="1320" spans="1:22">
      <c r="A1320" t="s">
        <v>873</v>
      </c>
      <c r="B1320">
        <v>37</v>
      </c>
      <c r="C1320">
        <v>977</v>
      </c>
      <c r="D1320" t="s">
        <v>14</v>
      </c>
      <c r="E1320" t="s">
        <v>1497</v>
      </c>
      <c r="F1320" t="s">
        <v>1499</v>
      </c>
      <c r="G1320">
        <v>56</v>
      </c>
      <c r="H1320">
        <v>2</v>
      </c>
      <c r="I1320">
        <v>2</v>
      </c>
      <c r="J1320" t="s">
        <v>1480</v>
      </c>
      <c r="K1320" t="s">
        <v>1481</v>
      </c>
      <c r="L1320">
        <v>4</v>
      </c>
      <c r="M1320" t="s">
        <v>15</v>
      </c>
      <c r="N1320">
        <v>1</v>
      </c>
      <c r="O1320" t="s">
        <v>13</v>
      </c>
      <c r="P1320">
        <v>14</v>
      </c>
      <c r="Q1320" s="4">
        <v>45707</v>
      </c>
      <c r="R1320" s="4"/>
      <c r="S1320" t="str">
        <f>TEXT(Table1[[#This Row],[Hiring Date]],"mmmm")</f>
        <v>February</v>
      </c>
      <c r="T1320" s="1">
        <f>COUNTIF(S:S,Table1[[#This Row],[Months List]])</f>
        <v>0</v>
      </c>
      <c r="U1320" t="str">
        <f>TEXT(Table1[[#This Row],[Hiring Date]],"dddd")</f>
        <v>Wednesday</v>
      </c>
      <c r="V1320" s="1" t="str">
        <f>TEXT(Table1[[#This Row],[Hiring Date]],"yyyy")</f>
        <v>2025</v>
      </c>
    </row>
    <row r="1321" spans="1:22">
      <c r="A1321" t="s">
        <v>874</v>
      </c>
      <c r="B1321">
        <v>20</v>
      </c>
      <c r="C1321">
        <v>805</v>
      </c>
      <c r="D1321" t="s">
        <v>14</v>
      </c>
      <c r="E1321" t="s">
        <v>1497</v>
      </c>
      <c r="F1321" t="s">
        <v>1496</v>
      </c>
      <c r="G1321">
        <v>87</v>
      </c>
      <c r="H1321">
        <v>2</v>
      </c>
      <c r="I1321">
        <v>1</v>
      </c>
      <c r="J1321" t="s">
        <v>1484</v>
      </c>
      <c r="K1321" t="s">
        <v>1485</v>
      </c>
      <c r="L1321">
        <v>3</v>
      </c>
      <c r="M1321" t="s">
        <v>12</v>
      </c>
      <c r="N1321">
        <v>1</v>
      </c>
      <c r="O1321" t="s">
        <v>13</v>
      </c>
      <c r="P1321">
        <v>2</v>
      </c>
      <c r="Q1321" s="4">
        <v>45734</v>
      </c>
      <c r="R1321" s="4"/>
      <c r="S1321" t="str">
        <f>TEXT(Table1[[#This Row],[Hiring Date]],"mmmm")</f>
        <v>March</v>
      </c>
      <c r="T1321" s="1">
        <f>COUNTIF(S:S,Table1[[#This Row],[Months List]])</f>
        <v>0</v>
      </c>
      <c r="U1321" t="str">
        <f>TEXT(Table1[[#This Row],[Hiring Date]],"dddd")</f>
        <v>Tuesday</v>
      </c>
      <c r="V1321" s="1" t="str">
        <f>TEXT(Table1[[#This Row],[Hiring Date]],"yyyy")</f>
        <v>2025</v>
      </c>
    </row>
    <row r="1322" spans="1:22">
      <c r="A1322" t="s">
        <v>875</v>
      </c>
      <c r="B1322">
        <v>44</v>
      </c>
      <c r="C1322">
        <v>1097</v>
      </c>
      <c r="D1322" t="s">
        <v>14</v>
      </c>
      <c r="E1322" t="s">
        <v>1497</v>
      </c>
      <c r="F1322" t="s">
        <v>1496</v>
      </c>
      <c r="G1322">
        <v>96</v>
      </c>
      <c r="H1322">
        <v>3</v>
      </c>
      <c r="I1322">
        <v>1</v>
      </c>
      <c r="J1322" t="s">
        <v>1476</v>
      </c>
      <c r="K1322" t="s">
        <v>1477</v>
      </c>
      <c r="L1322">
        <v>3</v>
      </c>
      <c r="M1322" t="s">
        <v>12</v>
      </c>
      <c r="N1322">
        <v>1</v>
      </c>
      <c r="O1322" t="s">
        <v>10</v>
      </c>
      <c r="P1322">
        <v>6</v>
      </c>
      <c r="Q1322" s="4">
        <v>45844</v>
      </c>
      <c r="R1322" s="4"/>
      <c r="S1322" t="str">
        <f>TEXT(Table1[[#This Row],[Hiring Date]],"mmmm")</f>
        <v>July</v>
      </c>
      <c r="T1322" s="1">
        <f>COUNTIF(S:S,Table1[[#This Row],[Months List]])</f>
        <v>0</v>
      </c>
      <c r="U1322" t="str">
        <f>TEXT(Table1[[#This Row],[Hiring Date]],"dddd")</f>
        <v>Sunday</v>
      </c>
      <c r="V1322" s="1" t="str">
        <f>TEXT(Table1[[#This Row],[Hiring Date]],"yyyy")</f>
        <v>2025</v>
      </c>
    </row>
    <row r="1323" spans="1:22">
      <c r="A1323" t="s">
        <v>876</v>
      </c>
      <c r="B1323">
        <v>53</v>
      </c>
      <c r="C1323">
        <v>1223</v>
      </c>
      <c r="D1323" t="s">
        <v>14</v>
      </c>
      <c r="E1323" t="s">
        <v>1495</v>
      </c>
      <c r="F1323" t="s">
        <v>1499</v>
      </c>
      <c r="G1323">
        <v>50</v>
      </c>
      <c r="H1323">
        <v>3</v>
      </c>
      <c r="I1323">
        <v>5</v>
      </c>
      <c r="J1323" t="s">
        <v>1482</v>
      </c>
      <c r="K1323" t="s">
        <v>1483</v>
      </c>
      <c r="L1323">
        <v>3</v>
      </c>
      <c r="M1323" t="s">
        <v>16</v>
      </c>
      <c r="N1323">
        <v>3</v>
      </c>
      <c r="O1323" t="s">
        <v>13</v>
      </c>
      <c r="P1323">
        <v>26</v>
      </c>
      <c r="Q1323" s="4">
        <v>45793</v>
      </c>
      <c r="R1323" s="4"/>
      <c r="S1323" t="str">
        <f>TEXT(Table1[[#This Row],[Hiring Date]],"mmmm")</f>
        <v>May</v>
      </c>
      <c r="T1323" s="1">
        <f>COUNTIF(S:S,Table1[[#This Row],[Months List]])</f>
        <v>0</v>
      </c>
      <c r="U1323" t="str">
        <f>TEXT(Table1[[#This Row],[Hiring Date]],"dddd")</f>
        <v>Friday</v>
      </c>
      <c r="V1323" s="1" t="str">
        <f>TEXT(Table1[[#This Row],[Hiring Date]],"yyyy")</f>
        <v>2025</v>
      </c>
    </row>
    <row r="1324" spans="1:22">
      <c r="A1324" t="s">
        <v>94</v>
      </c>
      <c r="B1324">
        <v>35</v>
      </c>
      <c r="C1324">
        <v>776</v>
      </c>
      <c r="D1324" t="s">
        <v>11</v>
      </c>
      <c r="E1324" t="s">
        <v>1498</v>
      </c>
      <c r="F1324" t="s">
        <v>1496</v>
      </c>
      <c r="G1324">
        <v>32</v>
      </c>
      <c r="H1324">
        <v>2</v>
      </c>
      <c r="I1324">
        <v>2</v>
      </c>
      <c r="J1324" t="s">
        <v>1474</v>
      </c>
      <c r="K1324" t="s">
        <v>1475</v>
      </c>
      <c r="L1324">
        <v>1</v>
      </c>
      <c r="M1324" t="s">
        <v>12</v>
      </c>
      <c r="N1324">
        <v>0</v>
      </c>
      <c r="O1324" t="s">
        <v>13</v>
      </c>
      <c r="P1324">
        <v>16</v>
      </c>
      <c r="Q1324" s="4">
        <v>45981</v>
      </c>
      <c r="R1324" s="4"/>
      <c r="S1324" t="str">
        <f>TEXT(Table1[[#This Row],[Hiring Date]],"mmmm")</f>
        <v>November</v>
      </c>
      <c r="T1324" s="1">
        <f>COUNTIF(S:S,Table1[[#This Row],[Months List]])</f>
        <v>0</v>
      </c>
      <c r="U1324" t="str">
        <f>TEXT(Table1[[#This Row],[Hiring Date]],"dddd")</f>
        <v>Thursday</v>
      </c>
      <c r="V1324" s="1" t="str">
        <f>TEXT(Table1[[#This Row],[Hiring Date]],"yyyy")</f>
        <v>2025</v>
      </c>
    </row>
    <row r="1325" spans="1:22">
      <c r="A1325" t="s">
        <v>877</v>
      </c>
      <c r="B1325">
        <v>29</v>
      </c>
      <c r="C1325">
        <v>942</v>
      </c>
      <c r="D1325" t="s">
        <v>14</v>
      </c>
      <c r="E1325" t="s">
        <v>1497</v>
      </c>
      <c r="F1325" t="s">
        <v>1499</v>
      </c>
      <c r="G1325">
        <v>69</v>
      </c>
      <c r="H1325">
        <v>1</v>
      </c>
      <c r="I1325">
        <v>1</v>
      </c>
      <c r="J1325" t="s">
        <v>1476</v>
      </c>
      <c r="K1325" t="s">
        <v>1477</v>
      </c>
      <c r="L1325">
        <v>4</v>
      </c>
      <c r="M1325" t="s">
        <v>15</v>
      </c>
      <c r="N1325">
        <v>0</v>
      </c>
      <c r="O1325" t="s">
        <v>10</v>
      </c>
      <c r="P1325">
        <v>6</v>
      </c>
      <c r="Q1325" s="4">
        <v>45843</v>
      </c>
      <c r="R1325" s="4"/>
      <c r="S1325" t="str">
        <f>TEXT(Table1[[#This Row],[Hiring Date]],"mmmm")</f>
        <v>July</v>
      </c>
      <c r="T1325" s="1">
        <f>COUNTIF(S:S,Table1[[#This Row],[Months List]])</f>
        <v>0</v>
      </c>
      <c r="U1325" t="str">
        <f>TEXT(Table1[[#This Row],[Hiring Date]],"dddd")</f>
        <v>Saturday</v>
      </c>
      <c r="V1325" s="1" t="str">
        <f>TEXT(Table1[[#This Row],[Hiring Date]],"yyyy")</f>
        <v>2025</v>
      </c>
    </row>
    <row r="1326" spans="1:22">
      <c r="A1326" t="s">
        <v>878</v>
      </c>
      <c r="B1326">
        <v>22</v>
      </c>
      <c r="C1326">
        <v>1256</v>
      </c>
      <c r="D1326" t="s">
        <v>14</v>
      </c>
      <c r="E1326" t="s">
        <v>1497</v>
      </c>
      <c r="F1326" t="s">
        <v>1496</v>
      </c>
      <c r="G1326">
        <v>48</v>
      </c>
      <c r="H1326">
        <v>2</v>
      </c>
      <c r="I1326">
        <v>1</v>
      </c>
      <c r="J1326" t="s">
        <v>1476</v>
      </c>
      <c r="K1326" t="s">
        <v>1477</v>
      </c>
      <c r="L1326">
        <v>4</v>
      </c>
      <c r="M1326" t="s">
        <v>15</v>
      </c>
      <c r="N1326">
        <v>0</v>
      </c>
      <c r="O1326" t="s">
        <v>10</v>
      </c>
      <c r="P1326">
        <v>1</v>
      </c>
      <c r="Q1326" s="4">
        <v>45906</v>
      </c>
      <c r="R1326" s="4"/>
      <c r="S1326" t="str">
        <f>TEXT(Table1[[#This Row],[Hiring Date]],"mmmm")</f>
        <v>September</v>
      </c>
      <c r="T1326" s="1">
        <f>COUNTIF(S:S,Table1[[#This Row],[Months List]])</f>
        <v>0</v>
      </c>
      <c r="U1326" t="str">
        <f>TEXT(Table1[[#This Row],[Hiring Date]],"dddd")</f>
        <v>Saturday</v>
      </c>
      <c r="V1326" s="1" t="str">
        <f>TEXT(Table1[[#This Row],[Hiring Date]],"yyyy")</f>
        <v>2025</v>
      </c>
    </row>
    <row r="1327" spans="1:22">
      <c r="A1327" t="s">
        <v>879</v>
      </c>
      <c r="B1327">
        <v>46</v>
      </c>
      <c r="C1327">
        <v>1402</v>
      </c>
      <c r="D1327" t="s">
        <v>11</v>
      </c>
      <c r="E1327" t="s">
        <v>1498</v>
      </c>
      <c r="F1327" t="s">
        <v>1499</v>
      </c>
      <c r="G1327">
        <v>69</v>
      </c>
      <c r="H1327">
        <v>3</v>
      </c>
      <c r="I1327">
        <v>4</v>
      </c>
      <c r="J1327" t="s">
        <v>1482</v>
      </c>
      <c r="K1327" t="s">
        <v>1483</v>
      </c>
      <c r="L1327">
        <v>1</v>
      </c>
      <c r="M1327" t="s">
        <v>15</v>
      </c>
      <c r="N1327">
        <v>8</v>
      </c>
      <c r="O1327" t="s">
        <v>13</v>
      </c>
      <c r="P1327">
        <v>28</v>
      </c>
      <c r="Q1327" s="4">
        <v>45768</v>
      </c>
      <c r="R1327" s="4"/>
      <c r="S1327" t="str">
        <f>TEXT(Table1[[#This Row],[Hiring Date]],"mmmm")</f>
        <v>April</v>
      </c>
      <c r="T1327" s="1">
        <f>COUNTIF(S:S,Table1[[#This Row],[Months List]])</f>
        <v>0</v>
      </c>
      <c r="U1327" t="str">
        <f>TEXT(Table1[[#This Row],[Hiring Date]],"dddd")</f>
        <v>Monday</v>
      </c>
      <c r="V1327" s="1" t="str">
        <f>TEXT(Table1[[#This Row],[Hiring Date]],"yyyy")</f>
        <v>2025</v>
      </c>
    </row>
    <row r="1328" spans="1:22">
      <c r="A1328" t="s">
        <v>880</v>
      </c>
      <c r="B1328">
        <v>44</v>
      </c>
      <c r="C1328">
        <v>111</v>
      </c>
      <c r="D1328" t="s">
        <v>14</v>
      </c>
      <c r="E1328" t="s">
        <v>1497</v>
      </c>
      <c r="F1328" t="s">
        <v>1496</v>
      </c>
      <c r="G1328">
        <v>74</v>
      </c>
      <c r="H1328">
        <v>1</v>
      </c>
      <c r="I1328">
        <v>1</v>
      </c>
      <c r="J1328" t="s">
        <v>1476</v>
      </c>
      <c r="K1328" t="s">
        <v>1477</v>
      </c>
      <c r="L1328">
        <v>3</v>
      </c>
      <c r="M1328" t="s">
        <v>12</v>
      </c>
      <c r="N1328">
        <v>2</v>
      </c>
      <c r="O1328" t="s">
        <v>13</v>
      </c>
      <c r="P1328">
        <v>6</v>
      </c>
      <c r="Q1328" s="4">
        <v>45978</v>
      </c>
      <c r="R1328" s="4"/>
      <c r="S1328" t="str">
        <f>TEXT(Table1[[#This Row],[Hiring Date]],"mmmm")</f>
        <v>November</v>
      </c>
      <c r="T1328" s="1">
        <f>COUNTIF(S:S,Table1[[#This Row],[Months List]])</f>
        <v>0</v>
      </c>
      <c r="U1328" t="str">
        <f>TEXT(Table1[[#This Row],[Hiring Date]],"dddd")</f>
        <v>Monday</v>
      </c>
      <c r="V1328" s="1" t="str">
        <f>TEXT(Table1[[#This Row],[Hiring Date]],"yyyy")</f>
        <v>2025</v>
      </c>
    </row>
    <row r="1329" spans="1:22">
      <c r="A1329" t="s">
        <v>881</v>
      </c>
      <c r="B1329">
        <v>33</v>
      </c>
      <c r="C1329">
        <v>147</v>
      </c>
      <c r="D1329" t="s">
        <v>17</v>
      </c>
      <c r="E1329" t="s">
        <v>17</v>
      </c>
      <c r="F1329" t="s">
        <v>1496</v>
      </c>
      <c r="G1329">
        <v>99</v>
      </c>
      <c r="H1329">
        <v>3</v>
      </c>
      <c r="I1329">
        <v>1</v>
      </c>
      <c r="J1329" t="s">
        <v>1486</v>
      </c>
      <c r="K1329" t="s">
        <v>17</v>
      </c>
      <c r="L1329">
        <v>3</v>
      </c>
      <c r="M1329" t="s">
        <v>15</v>
      </c>
      <c r="N1329">
        <v>1</v>
      </c>
      <c r="O1329" t="s">
        <v>13</v>
      </c>
      <c r="P1329">
        <v>5</v>
      </c>
      <c r="Q1329" s="4">
        <v>45764</v>
      </c>
      <c r="R1329" s="4"/>
      <c r="S1329" t="str">
        <f>TEXT(Table1[[#This Row],[Hiring Date]],"mmmm")</f>
        <v>April</v>
      </c>
      <c r="T1329" s="1">
        <f>COUNTIF(S:S,Table1[[#This Row],[Months List]])</f>
        <v>0</v>
      </c>
      <c r="U1329" t="str">
        <f>TEXT(Table1[[#This Row],[Hiring Date]],"dddd")</f>
        <v>Thursday</v>
      </c>
      <c r="V1329" s="1" t="str">
        <f>TEXT(Table1[[#This Row],[Hiring Date]],"yyyy")</f>
        <v>2025</v>
      </c>
    </row>
    <row r="1330" spans="1:22">
      <c r="A1330" t="s">
        <v>882</v>
      </c>
      <c r="B1330">
        <v>41</v>
      </c>
      <c r="C1330">
        <v>906</v>
      </c>
      <c r="D1330" t="s">
        <v>14</v>
      </c>
      <c r="E1330" t="s">
        <v>1497</v>
      </c>
      <c r="F1330" t="s">
        <v>1496</v>
      </c>
      <c r="G1330">
        <v>95</v>
      </c>
      <c r="H1330">
        <v>2</v>
      </c>
      <c r="I1330">
        <v>1</v>
      </c>
      <c r="J1330" t="s">
        <v>1476</v>
      </c>
      <c r="K1330" t="s">
        <v>1477</v>
      </c>
      <c r="L1330">
        <v>1</v>
      </c>
      <c r="M1330" t="s">
        <v>16</v>
      </c>
      <c r="N1330">
        <v>6</v>
      </c>
      <c r="O1330" t="s">
        <v>13</v>
      </c>
      <c r="P1330">
        <v>5</v>
      </c>
      <c r="Q1330" s="4">
        <v>45644</v>
      </c>
      <c r="R1330" s="4"/>
      <c r="S1330" t="str">
        <f>TEXT(Table1[[#This Row],[Hiring Date]],"mmmm")</f>
        <v>December</v>
      </c>
      <c r="T1330" s="1">
        <f>COUNTIF(S:S,Table1[[#This Row],[Months List]])</f>
        <v>0</v>
      </c>
      <c r="U1330" t="str">
        <f>TEXT(Table1[[#This Row],[Hiring Date]],"dddd")</f>
        <v>Wednesday</v>
      </c>
      <c r="V1330" s="1" t="str">
        <f>TEXT(Table1[[#This Row],[Hiring Date]],"yyyy")</f>
        <v>2024</v>
      </c>
    </row>
    <row r="1331" spans="1:22">
      <c r="A1331" t="s">
        <v>883</v>
      </c>
      <c r="B1331">
        <v>30</v>
      </c>
      <c r="C1331">
        <v>1329</v>
      </c>
      <c r="D1331" t="s">
        <v>11</v>
      </c>
      <c r="E1331" t="s">
        <v>1497</v>
      </c>
      <c r="F1331" t="s">
        <v>1496</v>
      </c>
      <c r="G1331">
        <v>61</v>
      </c>
      <c r="H1331">
        <v>3</v>
      </c>
      <c r="I1331">
        <v>2</v>
      </c>
      <c r="J1331" t="s">
        <v>1474</v>
      </c>
      <c r="K1331" t="s">
        <v>1475</v>
      </c>
      <c r="L1331">
        <v>1</v>
      </c>
      <c r="M1331" t="s">
        <v>16</v>
      </c>
      <c r="N1331">
        <v>8</v>
      </c>
      <c r="O1331" t="s">
        <v>13</v>
      </c>
      <c r="P1331">
        <v>8</v>
      </c>
      <c r="Q1331" s="4">
        <v>45669</v>
      </c>
      <c r="R1331" s="4"/>
      <c r="S1331" t="str">
        <f>TEXT(Table1[[#This Row],[Hiring Date]],"mmmm")</f>
        <v>January</v>
      </c>
      <c r="T1331" s="1">
        <f>COUNTIF(S:S,Table1[[#This Row],[Months List]])</f>
        <v>0</v>
      </c>
      <c r="U1331" t="str">
        <f>TEXT(Table1[[#This Row],[Hiring Date]],"dddd")</f>
        <v>Sunday</v>
      </c>
      <c r="V1331" s="1" t="str">
        <f>TEXT(Table1[[#This Row],[Hiring Date]],"yyyy")</f>
        <v>2025</v>
      </c>
    </row>
    <row r="1332" spans="1:22">
      <c r="A1332" t="s">
        <v>884</v>
      </c>
      <c r="B1332">
        <v>40</v>
      </c>
      <c r="C1332">
        <v>1184</v>
      </c>
      <c r="D1332" t="s">
        <v>11</v>
      </c>
      <c r="E1332" t="s">
        <v>1495</v>
      </c>
      <c r="F1332" t="s">
        <v>1496</v>
      </c>
      <c r="G1332">
        <v>62</v>
      </c>
      <c r="H1332">
        <v>3</v>
      </c>
      <c r="I1332">
        <v>2</v>
      </c>
      <c r="J1332" t="s">
        <v>1474</v>
      </c>
      <c r="K1332" t="s">
        <v>1475</v>
      </c>
      <c r="L1332">
        <v>2</v>
      </c>
      <c r="M1332" t="s">
        <v>15</v>
      </c>
      <c r="N1332">
        <v>5</v>
      </c>
      <c r="O1332" t="s">
        <v>13</v>
      </c>
      <c r="P1332">
        <v>5</v>
      </c>
      <c r="Q1332" s="4">
        <v>45862</v>
      </c>
      <c r="R1332" s="4"/>
      <c r="S1332" t="str">
        <f>TEXT(Table1[[#This Row],[Hiring Date]],"mmmm")</f>
        <v>July</v>
      </c>
      <c r="T1332" s="1">
        <f>COUNTIF(S:S,Table1[[#This Row],[Months List]])</f>
        <v>0</v>
      </c>
      <c r="U1332" t="str">
        <f>TEXT(Table1[[#This Row],[Hiring Date]],"dddd")</f>
        <v>Thursday</v>
      </c>
      <c r="V1332" s="1" t="str">
        <f>TEXT(Table1[[#This Row],[Hiring Date]],"yyyy")</f>
        <v>2025</v>
      </c>
    </row>
    <row r="1333" spans="1:22">
      <c r="A1333" t="s">
        <v>885</v>
      </c>
      <c r="B1333">
        <v>50</v>
      </c>
      <c r="C1333">
        <v>1421</v>
      </c>
      <c r="D1333" t="s">
        <v>14</v>
      </c>
      <c r="E1333" t="s">
        <v>1495</v>
      </c>
      <c r="F1333" t="s">
        <v>1499</v>
      </c>
      <c r="G1333">
        <v>30</v>
      </c>
      <c r="H1333">
        <v>3</v>
      </c>
      <c r="I1333">
        <v>4</v>
      </c>
      <c r="J1333" t="s">
        <v>1482</v>
      </c>
      <c r="K1333" t="s">
        <v>1483</v>
      </c>
      <c r="L1333">
        <v>1</v>
      </c>
      <c r="M1333" t="s">
        <v>15</v>
      </c>
      <c r="N1333">
        <v>2</v>
      </c>
      <c r="O1333" t="s">
        <v>13</v>
      </c>
      <c r="P1333">
        <v>32</v>
      </c>
      <c r="Q1333" s="4">
        <v>45966</v>
      </c>
      <c r="R1333" s="4"/>
      <c r="S1333" t="str">
        <f>TEXT(Table1[[#This Row],[Hiring Date]],"mmmm")</f>
        <v>November</v>
      </c>
      <c r="T1333" s="1">
        <f>COUNTIF(S:S,Table1[[#This Row],[Months List]])</f>
        <v>0</v>
      </c>
      <c r="U1333" t="str">
        <f>TEXT(Table1[[#This Row],[Hiring Date]],"dddd")</f>
        <v>Wednesday</v>
      </c>
      <c r="V1333" s="1" t="str">
        <f>TEXT(Table1[[#This Row],[Hiring Date]],"yyyy")</f>
        <v>2025</v>
      </c>
    </row>
    <row r="1334" spans="1:22">
      <c r="A1334" t="s">
        <v>886</v>
      </c>
      <c r="B1334">
        <v>28</v>
      </c>
      <c r="C1334">
        <v>1179</v>
      </c>
      <c r="D1334" t="s">
        <v>14</v>
      </c>
      <c r="E1334" t="s">
        <v>1495</v>
      </c>
      <c r="F1334" t="s">
        <v>1496</v>
      </c>
      <c r="G1334">
        <v>78</v>
      </c>
      <c r="H1334">
        <v>2</v>
      </c>
      <c r="I1334">
        <v>1</v>
      </c>
      <c r="J1334" t="s">
        <v>1484</v>
      </c>
      <c r="K1334" t="s">
        <v>1485</v>
      </c>
      <c r="L1334">
        <v>1</v>
      </c>
      <c r="M1334" t="s">
        <v>15</v>
      </c>
      <c r="N1334">
        <v>1</v>
      </c>
      <c r="O1334" t="s">
        <v>13</v>
      </c>
      <c r="P1334">
        <v>6</v>
      </c>
      <c r="Q1334" s="4">
        <v>45905</v>
      </c>
      <c r="R1334" s="4"/>
      <c r="S1334" t="str">
        <f>TEXT(Table1[[#This Row],[Hiring Date]],"mmmm")</f>
        <v>September</v>
      </c>
      <c r="T1334" s="1">
        <f>COUNTIF(S:S,Table1[[#This Row],[Months List]])</f>
        <v>0</v>
      </c>
      <c r="U1334" t="str">
        <f>TEXT(Table1[[#This Row],[Hiring Date]],"dddd")</f>
        <v>Friday</v>
      </c>
      <c r="V1334" s="1" t="str">
        <f>TEXT(Table1[[#This Row],[Hiring Date]],"yyyy")</f>
        <v>2025</v>
      </c>
    </row>
    <row r="1335" spans="1:22">
      <c r="A1335" t="s">
        <v>95</v>
      </c>
      <c r="B1335">
        <v>45</v>
      </c>
      <c r="C1335">
        <v>193</v>
      </c>
      <c r="D1335" t="s">
        <v>14</v>
      </c>
      <c r="E1335" t="s">
        <v>1500</v>
      </c>
      <c r="F1335" t="s">
        <v>1496</v>
      </c>
      <c r="G1335">
        <v>52</v>
      </c>
      <c r="H1335">
        <v>3</v>
      </c>
      <c r="I1335">
        <v>3</v>
      </c>
      <c r="J1335" t="s">
        <v>1487</v>
      </c>
      <c r="K1335" t="s">
        <v>1488</v>
      </c>
      <c r="L1335">
        <v>1</v>
      </c>
      <c r="M1335" t="s">
        <v>15</v>
      </c>
      <c r="N1335">
        <v>4</v>
      </c>
      <c r="O1335" t="s">
        <v>10</v>
      </c>
      <c r="P1335">
        <v>17</v>
      </c>
      <c r="Q1335" s="4">
        <v>45729</v>
      </c>
      <c r="R1335" s="4"/>
      <c r="S1335" t="str">
        <f>TEXT(Table1[[#This Row],[Hiring Date]],"mmmm")</f>
        <v>March</v>
      </c>
      <c r="T1335" s="1">
        <f>COUNTIF(S:S,Table1[[#This Row],[Months List]])</f>
        <v>0</v>
      </c>
      <c r="U1335" t="str">
        <f>TEXT(Table1[[#This Row],[Hiring Date]],"dddd")</f>
        <v>Thursday</v>
      </c>
      <c r="V1335" s="1" t="str">
        <f>TEXT(Table1[[#This Row],[Hiring Date]],"yyyy")</f>
        <v>2025</v>
      </c>
    </row>
    <row r="1336" spans="1:22">
      <c r="A1336" t="s">
        <v>887</v>
      </c>
      <c r="B1336">
        <v>46</v>
      </c>
      <c r="C1336">
        <v>1450</v>
      </c>
      <c r="D1336" t="s">
        <v>14</v>
      </c>
      <c r="E1336" t="s">
        <v>1497</v>
      </c>
      <c r="F1336" t="s">
        <v>1496</v>
      </c>
      <c r="G1336">
        <v>52</v>
      </c>
      <c r="H1336">
        <v>3</v>
      </c>
      <c r="I1336">
        <v>5</v>
      </c>
      <c r="J1336" t="s">
        <v>1487</v>
      </c>
      <c r="K1336" t="s">
        <v>1488</v>
      </c>
      <c r="L1336">
        <v>2</v>
      </c>
      <c r="M1336" t="s">
        <v>15</v>
      </c>
      <c r="N1336">
        <v>5</v>
      </c>
      <c r="O1336" t="s">
        <v>13</v>
      </c>
      <c r="P1336">
        <v>25</v>
      </c>
      <c r="Q1336" s="4">
        <v>45733</v>
      </c>
      <c r="R1336" s="4"/>
      <c r="S1336" t="str">
        <f>TEXT(Table1[[#This Row],[Hiring Date]],"mmmm")</f>
        <v>March</v>
      </c>
      <c r="T1336" s="1">
        <f>COUNTIF(S:S,Table1[[#This Row],[Months List]])</f>
        <v>0</v>
      </c>
      <c r="U1336" t="str">
        <f>TEXT(Table1[[#This Row],[Hiring Date]],"dddd")</f>
        <v>Monday</v>
      </c>
      <c r="V1336" s="1" t="str">
        <f>TEXT(Table1[[#This Row],[Hiring Date]],"yyyy")</f>
        <v>2025</v>
      </c>
    </row>
    <row r="1337" spans="1:22">
      <c r="A1337" t="s">
        <v>888</v>
      </c>
      <c r="B1337">
        <v>35</v>
      </c>
      <c r="C1337">
        <v>1361</v>
      </c>
      <c r="D1337" t="s">
        <v>11</v>
      </c>
      <c r="E1337" t="s">
        <v>1497</v>
      </c>
      <c r="F1337" t="s">
        <v>1496</v>
      </c>
      <c r="G1337">
        <v>94</v>
      </c>
      <c r="H1337">
        <v>3</v>
      </c>
      <c r="I1337">
        <v>2</v>
      </c>
      <c r="J1337" t="s">
        <v>1474</v>
      </c>
      <c r="K1337" t="s">
        <v>1475</v>
      </c>
      <c r="L1337">
        <v>1</v>
      </c>
      <c r="M1337" t="s">
        <v>15</v>
      </c>
      <c r="N1337">
        <v>3</v>
      </c>
      <c r="O1337" t="s">
        <v>10</v>
      </c>
      <c r="P1337">
        <v>15</v>
      </c>
      <c r="Q1337" s="4">
        <v>45701</v>
      </c>
      <c r="R1337" s="4"/>
      <c r="S1337" t="str">
        <f>TEXT(Table1[[#This Row],[Hiring Date]],"mmmm")</f>
        <v>February</v>
      </c>
      <c r="T1337" s="1">
        <f>COUNTIF(S:S,Table1[[#This Row],[Months List]])</f>
        <v>0</v>
      </c>
      <c r="U1337" t="str">
        <f>TEXT(Table1[[#This Row],[Hiring Date]],"dddd")</f>
        <v>Thursday</v>
      </c>
      <c r="V1337" s="1" t="str">
        <f>TEXT(Table1[[#This Row],[Hiring Date]],"yyyy")</f>
        <v>2025</v>
      </c>
    </row>
    <row r="1338" spans="1:22">
      <c r="A1338" t="s">
        <v>889</v>
      </c>
      <c r="B1338">
        <v>24</v>
      </c>
      <c r="C1338">
        <v>984</v>
      </c>
      <c r="D1338" t="s">
        <v>14</v>
      </c>
      <c r="E1338" t="s">
        <v>1497</v>
      </c>
      <c r="F1338" t="s">
        <v>1499</v>
      </c>
      <c r="G1338">
        <v>97</v>
      </c>
      <c r="H1338">
        <v>3</v>
      </c>
      <c r="I1338">
        <v>1</v>
      </c>
      <c r="J1338" t="s">
        <v>1484</v>
      </c>
      <c r="K1338" t="s">
        <v>1485</v>
      </c>
      <c r="L1338">
        <v>2</v>
      </c>
      <c r="M1338" t="s">
        <v>15</v>
      </c>
      <c r="N1338">
        <v>1</v>
      </c>
      <c r="O1338" t="s">
        <v>13</v>
      </c>
      <c r="P1338">
        <v>1</v>
      </c>
      <c r="Q1338" s="4">
        <v>45952</v>
      </c>
      <c r="R1338" s="4"/>
      <c r="S1338" t="str">
        <f>TEXT(Table1[[#This Row],[Hiring Date]],"mmmm")</f>
        <v>October</v>
      </c>
      <c r="T1338" s="1">
        <f>COUNTIF(S:S,Table1[[#This Row],[Months List]])</f>
        <v>0</v>
      </c>
      <c r="U1338" t="str">
        <f>TEXT(Table1[[#This Row],[Hiring Date]],"dddd")</f>
        <v>Wednesday</v>
      </c>
      <c r="V1338" s="1" t="str">
        <f>TEXT(Table1[[#This Row],[Hiring Date]],"yyyy")</f>
        <v>2025</v>
      </c>
    </row>
    <row r="1339" spans="1:22">
      <c r="A1339" t="s">
        <v>890</v>
      </c>
      <c r="B1339">
        <v>33</v>
      </c>
      <c r="C1339">
        <v>1146</v>
      </c>
      <c r="D1339" t="s">
        <v>11</v>
      </c>
      <c r="E1339" t="s">
        <v>1495</v>
      </c>
      <c r="F1339" t="s">
        <v>1499</v>
      </c>
      <c r="G1339">
        <v>82</v>
      </c>
      <c r="H1339">
        <v>3</v>
      </c>
      <c r="I1339">
        <v>2</v>
      </c>
      <c r="J1339" t="s">
        <v>1474</v>
      </c>
      <c r="K1339" t="s">
        <v>1475</v>
      </c>
      <c r="L1339">
        <v>3</v>
      </c>
      <c r="M1339" t="s">
        <v>15</v>
      </c>
      <c r="N1339">
        <v>1</v>
      </c>
      <c r="O1339" t="s">
        <v>13</v>
      </c>
      <c r="P1339">
        <v>10</v>
      </c>
      <c r="Q1339" s="4">
        <v>45827</v>
      </c>
      <c r="R1339" s="4"/>
      <c r="S1339" t="str">
        <f>TEXT(Table1[[#This Row],[Hiring Date]],"mmmm")</f>
        <v>June</v>
      </c>
      <c r="T1339" s="1">
        <f>COUNTIF(S:S,Table1[[#This Row],[Months List]])</f>
        <v>0</v>
      </c>
      <c r="U1339" t="str">
        <f>TEXT(Table1[[#This Row],[Hiring Date]],"dddd")</f>
        <v>Thursday</v>
      </c>
      <c r="V1339" s="1" t="str">
        <f>TEXT(Table1[[#This Row],[Hiring Date]],"yyyy")</f>
        <v>2025</v>
      </c>
    </row>
    <row r="1340" spans="1:22">
      <c r="A1340" t="s">
        <v>891</v>
      </c>
      <c r="B1340">
        <v>36</v>
      </c>
      <c r="C1340">
        <v>917</v>
      </c>
      <c r="D1340" t="s">
        <v>14</v>
      </c>
      <c r="E1340" t="s">
        <v>1497</v>
      </c>
      <c r="F1340" t="s">
        <v>1496</v>
      </c>
      <c r="G1340">
        <v>60</v>
      </c>
      <c r="H1340">
        <v>1</v>
      </c>
      <c r="I1340">
        <v>1</v>
      </c>
      <c r="J1340" t="s">
        <v>1484</v>
      </c>
      <c r="K1340" t="s">
        <v>1485</v>
      </c>
      <c r="L1340">
        <v>3</v>
      </c>
      <c r="M1340" t="s">
        <v>16</v>
      </c>
      <c r="N1340">
        <v>1</v>
      </c>
      <c r="O1340" t="s">
        <v>13</v>
      </c>
      <c r="P1340">
        <v>7</v>
      </c>
      <c r="Q1340" s="4">
        <v>45730</v>
      </c>
      <c r="R1340" s="4"/>
      <c r="S1340" t="str">
        <f>TEXT(Table1[[#This Row],[Hiring Date]],"mmmm")</f>
        <v>March</v>
      </c>
      <c r="T1340" s="1">
        <f>COUNTIF(S:S,Table1[[#This Row],[Months List]])</f>
        <v>0</v>
      </c>
      <c r="U1340" t="str">
        <f>TEXT(Table1[[#This Row],[Hiring Date]],"dddd")</f>
        <v>Friday</v>
      </c>
      <c r="V1340" s="1" t="str">
        <f>TEXT(Table1[[#This Row],[Hiring Date]],"yyyy")</f>
        <v>2025</v>
      </c>
    </row>
    <row r="1341" spans="1:22">
      <c r="A1341" t="s">
        <v>892</v>
      </c>
      <c r="B1341">
        <v>30</v>
      </c>
      <c r="C1341">
        <v>853</v>
      </c>
      <c r="D1341" t="s">
        <v>14</v>
      </c>
      <c r="E1341" t="s">
        <v>1497</v>
      </c>
      <c r="F1341" t="s">
        <v>1496</v>
      </c>
      <c r="G1341">
        <v>49</v>
      </c>
      <c r="H1341">
        <v>3</v>
      </c>
      <c r="I1341">
        <v>2</v>
      </c>
      <c r="J1341" t="s">
        <v>1484</v>
      </c>
      <c r="K1341" t="s">
        <v>1485</v>
      </c>
      <c r="L1341">
        <v>3</v>
      </c>
      <c r="M1341" t="s">
        <v>16</v>
      </c>
      <c r="N1341">
        <v>1</v>
      </c>
      <c r="O1341" t="s">
        <v>13</v>
      </c>
      <c r="P1341">
        <v>10</v>
      </c>
      <c r="Q1341" s="4">
        <v>45909</v>
      </c>
      <c r="R1341" s="4"/>
      <c r="S1341" t="str">
        <f>TEXT(Table1[[#This Row],[Hiring Date]],"mmmm")</f>
        <v>September</v>
      </c>
      <c r="T1341" s="1">
        <f>COUNTIF(S:S,Table1[[#This Row],[Months List]])</f>
        <v>0</v>
      </c>
      <c r="U1341" t="str">
        <f>TEXT(Table1[[#This Row],[Hiring Date]],"dddd")</f>
        <v>Tuesday</v>
      </c>
      <c r="V1341" s="1" t="str">
        <f>TEXT(Table1[[#This Row],[Hiring Date]],"yyyy")</f>
        <v>2025</v>
      </c>
    </row>
    <row r="1342" spans="1:22">
      <c r="A1342" t="s">
        <v>893</v>
      </c>
      <c r="B1342">
        <v>44</v>
      </c>
      <c r="C1342">
        <v>200</v>
      </c>
      <c r="D1342" t="s">
        <v>14</v>
      </c>
      <c r="E1342" t="s">
        <v>1500</v>
      </c>
      <c r="F1342" t="s">
        <v>1496</v>
      </c>
      <c r="G1342">
        <v>32</v>
      </c>
      <c r="H1342">
        <v>3</v>
      </c>
      <c r="I1342">
        <v>2</v>
      </c>
      <c r="J1342" t="s">
        <v>1476</v>
      </c>
      <c r="K1342" t="s">
        <v>1477</v>
      </c>
      <c r="L1342">
        <v>4</v>
      </c>
      <c r="M1342" t="s">
        <v>12</v>
      </c>
      <c r="N1342">
        <v>1</v>
      </c>
      <c r="O1342" t="s">
        <v>13</v>
      </c>
      <c r="P1342">
        <v>20</v>
      </c>
      <c r="Q1342" s="4">
        <v>45851</v>
      </c>
      <c r="R1342" s="4"/>
      <c r="S1342" t="str">
        <f>TEXT(Table1[[#This Row],[Hiring Date]],"mmmm")</f>
        <v>July</v>
      </c>
      <c r="T1342" s="1">
        <f>COUNTIF(S:S,Table1[[#This Row],[Months List]])</f>
        <v>0</v>
      </c>
      <c r="U1342" t="str">
        <f>TEXT(Table1[[#This Row],[Hiring Date]],"dddd")</f>
        <v>Sunday</v>
      </c>
      <c r="V1342" s="1" t="str">
        <f>TEXT(Table1[[#This Row],[Hiring Date]],"yyyy")</f>
        <v>2025</v>
      </c>
    </row>
    <row r="1343" spans="1:22">
      <c r="A1343" t="s">
        <v>894</v>
      </c>
      <c r="B1343">
        <v>20</v>
      </c>
      <c r="C1343">
        <v>654</v>
      </c>
      <c r="D1343" t="s">
        <v>11</v>
      </c>
      <c r="E1343" t="s">
        <v>1498</v>
      </c>
      <c r="F1343" t="s">
        <v>1496</v>
      </c>
      <c r="G1343">
        <v>43</v>
      </c>
      <c r="H1343">
        <v>4</v>
      </c>
      <c r="I1343">
        <v>1</v>
      </c>
      <c r="J1343" t="s">
        <v>1489</v>
      </c>
      <c r="K1343" t="s">
        <v>1490</v>
      </c>
      <c r="L1343">
        <v>4</v>
      </c>
      <c r="M1343" t="s">
        <v>12</v>
      </c>
      <c r="N1343">
        <v>1</v>
      </c>
      <c r="O1343" t="s">
        <v>13</v>
      </c>
      <c r="P1343">
        <v>2</v>
      </c>
      <c r="Q1343" s="4">
        <v>45976</v>
      </c>
      <c r="R1343" s="4"/>
      <c r="S1343" t="str">
        <f>TEXT(Table1[[#This Row],[Hiring Date]],"mmmm")</f>
        <v>November</v>
      </c>
      <c r="T1343" s="1">
        <f>COUNTIF(S:S,Table1[[#This Row],[Months List]])</f>
        <v>0</v>
      </c>
      <c r="U1343" t="str">
        <f>TEXT(Table1[[#This Row],[Hiring Date]],"dddd")</f>
        <v>Saturday</v>
      </c>
      <c r="V1343" s="1" t="str">
        <f>TEXT(Table1[[#This Row],[Hiring Date]],"yyyy")</f>
        <v>2025</v>
      </c>
    </row>
    <row r="1344" spans="1:22">
      <c r="A1344" t="s">
        <v>895</v>
      </c>
      <c r="B1344">
        <v>46</v>
      </c>
      <c r="C1344">
        <v>150</v>
      </c>
      <c r="D1344" t="s">
        <v>14</v>
      </c>
      <c r="E1344" t="s">
        <v>1501</v>
      </c>
      <c r="F1344" t="s">
        <v>1496</v>
      </c>
      <c r="G1344">
        <v>60</v>
      </c>
      <c r="H1344">
        <v>3</v>
      </c>
      <c r="I1344">
        <v>2</v>
      </c>
      <c r="J1344" t="s">
        <v>1480</v>
      </c>
      <c r="K1344" t="s">
        <v>1481</v>
      </c>
      <c r="L1344">
        <v>4</v>
      </c>
      <c r="M1344" t="s">
        <v>16</v>
      </c>
      <c r="N1344">
        <v>2</v>
      </c>
      <c r="O1344" t="s">
        <v>13</v>
      </c>
      <c r="P1344">
        <v>12</v>
      </c>
      <c r="Q1344" s="4">
        <v>45850</v>
      </c>
      <c r="R1344" s="4"/>
      <c r="S1344" t="str">
        <f>TEXT(Table1[[#This Row],[Hiring Date]],"mmmm")</f>
        <v>July</v>
      </c>
      <c r="T1344" s="1">
        <f>COUNTIF(S:S,Table1[[#This Row],[Months List]])</f>
        <v>0</v>
      </c>
      <c r="U1344" t="str">
        <f>TEXT(Table1[[#This Row],[Hiring Date]],"dddd")</f>
        <v>Saturday</v>
      </c>
      <c r="V1344" s="1" t="str">
        <f>TEXT(Table1[[#This Row],[Hiring Date]],"yyyy")</f>
        <v>2025</v>
      </c>
    </row>
    <row r="1345" spans="1:22">
      <c r="A1345" t="s">
        <v>896</v>
      </c>
      <c r="B1345">
        <v>42</v>
      </c>
      <c r="C1345">
        <v>179</v>
      </c>
      <c r="D1345" t="s">
        <v>17</v>
      </c>
      <c r="E1345" t="s">
        <v>1495</v>
      </c>
      <c r="F1345" t="s">
        <v>1496</v>
      </c>
      <c r="G1345">
        <v>79</v>
      </c>
      <c r="H1345">
        <v>4</v>
      </c>
      <c r="I1345">
        <v>2</v>
      </c>
      <c r="J1345" t="s">
        <v>1486</v>
      </c>
      <c r="K1345" t="s">
        <v>17</v>
      </c>
      <c r="L1345">
        <v>1</v>
      </c>
      <c r="M1345" t="s">
        <v>15</v>
      </c>
      <c r="N1345">
        <v>7</v>
      </c>
      <c r="O1345" t="s">
        <v>13</v>
      </c>
      <c r="P1345">
        <v>10</v>
      </c>
      <c r="Q1345" s="4">
        <v>45841</v>
      </c>
      <c r="R1345" s="4"/>
      <c r="S1345" t="str">
        <f>TEXT(Table1[[#This Row],[Hiring Date]],"mmmm")</f>
        <v>July</v>
      </c>
      <c r="T1345" s="1">
        <f>COUNTIF(S:S,Table1[[#This Row],[Months List]])</f>
        <v>0</v>
      </c>
      <c r="U1345" t="str">
        <f>TEXT(Table1[[#This Row],[Hiring Date]],"dddd")</f>
        <v>Thursday</v>
      </c>
      <c r="V1345" s="1" t="str">
        <f>TEXT(Table1[[#This Row],[Hiring Date]],"yyyy")</f>
        <v>2025</v>
      </c>
    </row>
    <row r="1346" spans="1:22">
      <c r="A1346" t="s">
        <v>96</v>
      </c>
      <c r="B1346">
        <v>37</v>
      </c>
      <c r="C1346">
        <v>397</v>
      </c>
      <c r="D1346" t="s">
        <v>14</v>
      </c>
      <c r="E1346" t="s">
        <v>1495</v>
      </c>
      <c r="F1346" t="s">
        <v>1496</v>
      </c>
      <c r="G1346">
        <v>30</v>
      </c>
      <c r="H1346">
        <v>3</v>
      </c>
      <c r="I1346">
        <v>3</v>
      </c>
      <c r="J1346" t="s">
        <v>1487</v>
      </c>
      <c r="K1346" t="s">
        <v>1488</v>
      </c>
      <c r="L1346">
        <v>3</v>
      </c>
      <c r="M1346" t="s">
        <v>12</v>
      </c>
      <c r="N1346">
        <v>4</v>
      </c>
      <c r="O1346" t="s">
        <v>13</v>
      </c>
      <c r="P1346">
        <v>16</v>
      </c>
      <c r="Q1346" s="4">
        <v>45749</v>
      </c>
      <c r="R1346" s="4"/>
      <c r="S1346" t="str">
        <f>TEXT(Table1[[#This Row],[Hiring Date]],"mmmm")</f>
        <v>April</v>
      </c>
      <c r="T1346" s="1">
        <f>COUNTIF(S:S,Table1[[#This Row],[Months List]])</f>
        <v>0</v>
      </c>
      <c r="U1346" t="str">
        <f>TEXT(Table1[[#This Row],[Hiring Date]],"dddd")</f>
        <v>Wednesday</v>
      </c>
      <c r="V1346" s="1" t="str">
        <f>TEXT(Table1[[#This Row],[Hiring Date]],"yyyy")</f>
        <v>2025</v>
      </c>
    </row>
    <row r="1347" spans="1:22">
      <c r="A1347" t="s">
        <v>897</v>
      </c>
      <c r="B1347">
        <v>60</v>
      </c>
      <c r="C1347">
        <v>696</v>
      </c>
      <c r="D1347" t="s">
        <v>11</v>
      </c>
      <c r="E1347" t="s">
        <v>1498</v>
      </c>
      <c r="F1347" t="s">
        <v>1496</v>
      </c>
      <c r="G1347">
        <v>52</v>
      </c>
      <c r="H1347">
        <v>4</v>
      </c>
      <c r="I1347">
        <v>2</v>
      </c>
      <c r="J1347" t="s">
        <v>1474</v>
      </c>
      <c r="K1347" t="s">
        <v>1475</v>
      </c>
      <c r="L1347">
        <v>4</v>
      </c>
      <c r="M1347" t="s">
        <v>16</v>
      </c>
      <c r="N1347">
        <v>0</v>
      </c>
      <c r="O1347" t="s">
        <v>10</v>
      </c>
      <c r="P1347">
        <v>12</v>
      </c>
      <c r="Q1347" s="4">
        <v>45645</v>
      </c>
      <c r="R1347" s="4"/>
      <c r="S1347" t="str">
        <f>TEXT(Table1[[#This Row],[Hiring Date]],"mmmm")</f>
        <v>December</v>
      </c>
      <c r="T1347" s="1">
        <f>COUNTIF(S:S,Table1[[#This Row],[Months List]])</f>
        <v>0</v>
      </c>
      <c r="U1347" t="str">
        <f>TEXT(Table1[[#This Row],[Hiring Date]],"dddd")</f>
        <v>Thursday</v>
      </c>
      <c r="V1347" s="1" t="str">
        <f>TEXT(Table1[[#This Row],[Hiring Date]],"yyyy")</f>
        <v>2024</v>
      </c>
    </row>
    <row r="1348" spans="1:22">
      <c r="A1348" t="s">
        <v>898</v>
      </c>
      <c r="B1348">
        <v>32</v>
      </c>
      <c r="C1348">
        <v>116</v>
      </c>
      <c r="D1348" t="s">
        <v>14</v>
      </c>
      <c r="E1348" t="s">
        <v>1500</v>
      </c>
      <c r="F1348" t="s">
        <v>1499</v>
      </c>
      <c r="G1348">
        <v>77</v>
      </c>
      <c r="H1348">
        <v>2</v>
      </c>
      <c r="I1348">
        <v>1</v>
      </c>
      <c r="J1348" t="s">
        <v>1484</v>
      </c>
      <c r="K1348" t="s">
        <v>1485</v>
      </c>
      <c r="L1348">
        <v>2</v>
      </c>
      <c r="M1348" t="s">
        <v>15</v>
      </c>
      <c r="N1348">
        <v>1</v>
      </c>
      <c r="O1348" t="s">
        <v>13</v>
      </c>
      <c r="P1348">
        <v>2</v>
      </c>
      <c r="Q1348" s="4">
        <v>45884</v>
      </c>
      <c r="R1348" s="4"/>
      <c r="S1348" t="str">
        <f>TEXT(Table1[[#This Row],[Hiring Date]],"mmmm")</f>
        <v>August</v>
      </c>
      <c r="T1348" s="1">
        <f>COUNTIF(S:S,Table1[[#This Row],[Months List]])</f>
        <v>0</v>
      </c>
      <c r="U1348" t="str">
        <f>TEXT(Table1[[#This Row],[Hiring Date]],"dddd")</f>
        <v>Friday</v>
      </c>
      <c r="V1348" s="1" t="str">
        <f>TEXT(Table1[[#This Row],[Hiring Date]],"yyyy")</f>
        <v>2025</v>
      </c>
    </row>
    <row r="1349" spans="1:22">
      <c r="A1349" t="s">
        <v>899</v>
      </c>
      <c r="B1349">
        <v>32</v>
      </c>
      <c r="C1349">
        <v>1316</v>
      </c>
      <c r="D1349" t="s">
        <v>14</v>
      </c>
      <c r="E1349" t="s">
        <v>1497</v>
      </c>
      <c r="F1349" t="s">
        <v>1499</v>
      </c>
      <c r="G1349">
        <v>38</v>
      </c>
      <c r="H1349">
        <v>3</v>
      </c>
      <c r="I1349">
        <v>2</v>
      </c>
      <c r="J1349" t="s">
        <v>1476</v>
      </c>
      <c r="K1349" t="s">
        <v>1477</v>
      </c>
      <c r="L1349">
        <v>3</v>
      </c>
      <c r="M1349" t="s">
        <v>12</v>
      </c>
      <c r="N1349">
        <v>4</v>
      </c>
      <c r="O1349" t="s">
        <v>10</v>
      </c>
      <c r="P1349">
        <v>10</v>
      </c>
      <c r="Q1349" s="4">
        <v>45903</v>
      </c>
      <c r="R1349" s="4"/>
      <c r="S1349" t="str">
        <f>TEXT(Table1[[#This Row],[Hiring Date]],"mmmm")</f>
        <v>September</v>
      </c>
      <c r="T1349" s="1">
        <f>COUNTIF(S:S,Table1[[#This Row],[Months List]])</f>
        <v>0</v>
      </c>
      <c r="U1349" t="str">
        <f>TEXT(Table1[[#This Row],[Hiring Date]],"dddd")</f>
        <v>Wednesday</v>
      </c>
      <c r="V1349" s="1" t="str">
        <f>TEXT(Table1[[#This Row],[Hiring Date]],"yyyy")</f>
        <v>2025</v>
      </c>
    </row>
    <row r="1350" spans="1:22">
      <c r="A1350" t="s">
        <v>900</v>
      </c>
      <c r="B1350">
        <v>36</v>
      </c>
      <c r="C1350">
        <v>363</v>
      </c>
      <c r="D1350" t="s">
        <v>14</v>
      </c>
      <c r="E1350" t="s">
        <v>1501</v>
      </c>
      <c r="F1350" t="s">
        <v>1499</v>
      </c>
      <c r="G1350">
        <v>77</v>
      </c>
      <c r="H1350">
        <v>1</v>
      </c>
      <c r="I1350">
        <v>3</v>
      </c>
      <c r="J1350" t="s">
        <v>1480</v>
      </c>
      <c r="K1350" t="s">
        <v>1481</v>
      </c>
      <c r="L1350">
        <v>1</v>
      </c>
      <c r="M1350" t="s">
        <v>16</v>
      </c>
      <c r="N1350">
        <v>2</v>
      </c>
      <c r="O1350" t="s">
        <v>10</v>
      </c>
      <c r="P1350">
        <v>17</v>
      </c>
      <c r="Q1350" s="4">
        <v>45994</v>
      </c>
      <c r="R1350" s="4"/>
      <c r="S1350" t="str">
        <f>TEXT(Table1[[#This Row],[Hiring Date]],"mmmm")</f>
        <v>December</v>
      </c>
      <c r="T1350" s="1">
        <f>COUNTIF(S:S,Table1[[#This Row],[Months List]])</f>
        <v>0</v>
      </c>
      <c r="U1350" t="str">
        <f>TEXT(Table1[[#This Row],[Hiring Date]],"dddd")</f>
        <v>Wednesday</v>
      </c>
      <c r="V1350" s="1" t="str">
        <f>TEXT(Table1[[#This Row],[Hiring Date]],"yyyy")</f>
        <v>2025</v>
      </c>
    </row>
    <row r="1351" spans="1:22">
      <c r="A1351" t="s">
        <v>901</v>
      </c>
      <c r="B1351">
        <v>33</v>
      </c>
      <c r="C1351">
        <v>117</v>
      </c>
      <c r="D1351" t="s">
        <v>14</v>
      </c>
      <c r="E1351" t="s">
        <v>1495</v>
      </c>
      <c r="F1351" t="s">
        <v>1496</v>
      </c>
      <c r="G1351">
        <v>60</v>
      </c>
      <c r="H1351">
        <v>3</v>
      </c>
      <c r="I1351">
        <v>1</v>
      </c>
      <c r="J1351" t="s">
        <v>1476</v>
      </c>
      <c r="K1351" t="s">
        <v>1477</v>
      </c>
      <c r="L1351">
        <v>4</v>
      </c>
      <c r="M1351" t="s">
        <v>15</v>
      </c>
      <c r="N1351">
        <v>0</v>
      </c>
      <c r="O1351" t="s">
        <v>13</v>
      </c>
      <c r="P1351">
        <v>15</v>
      </c>
      <c r="Q1351" s="4">
        <v>45965</v>
      </c>
      <c r="R1351" s="4"/>
      <c r="S1351" t="str">
        <f>TEXT(Table1[[#This Row],[Hiring Date]],"mmmm")</f>
        <v>November</v>
      </c>
      <c r="T1351" s="1">
        <f>COUNTIF(S:S,Table1[[#This Row],[Months List]])</f>
        <v>0</v>
      </c>
      <c r="U1351" t="str">
        <f>TEXT(Table1[[#This Row],[Hiring Date]],"dddd")</f>
        <v>Tuesday</v>
      </c>
      <c r="V1351" s="1" t="str">
        <f>TEXT(Table1[[#This Row],[Hiring Date]],"yyyy")</f>
        <v>2025</v>
      </c>
    </row>
    <row r="1352" spans="1:22">
      <c r="A1352" t="s">
        <v>902</v>
      </c>
      <c r="B1352">
        <v>40</v>
      </c>
      <c r="C1352">
        <v>107</v>
      </c>
      <c r="D1352" t="s">
        <v>11</v>
      </c>
      <c r="E1352" t="s">
        <v>1501</v>
      </c>
      <c r="F1352" t="s">
        <v>1499</v>
      </c>
      <c r="G1352">
        <v>84</v>
      </c>
      <c r="H1352">
        <v>2</v>
      </c>
      <c r="I1352">
        <v>2</v>
      </c>
      <c r="J1352" t="s">
        <v>1474</v>
      </c>
      <c r="K1352" t="s">
        <v>1475</v>
      </c>
      <c r="L1352">
        <v>2</v>
      </c>
      <c r="M1352" t="s">
        <v>16</v>
      </c>
      <c r="N1352">
        <v>7</v>
      </c>
      <c r="O1352" t="s">
        <v>13</v>
      </c>
      <c r="P1352">
        <v>7</v>
      </c>
      <c r="Q1352" s="4">
        <v>45938</v>
      </c>
      <c r="R1352" s="4"/>
      <c r="S1352" t="str">
        <f>TEXT(Table1[[#This Row],[Hiring Date]],"mmmm")</f>
        <v>October</v>
      </c>
      <c r="T1352" s="1">
        <f>COUNTIF(S:S,Table1[[#This Row],[Months List]])</f>
        <v>0</v>
      </c>
      <c r="U1352" t="str">
        <f>TEXT(Table1[[#This Row],[Hiring Date]],"dddd")</f>
        <v>Wednesday</v>
      </c>
      <c r="V1352" s="1" t="str">
        <f>TEXT(Table1[[#This Row],[Hiring Date]],"yyyy")</f>
        <v>2025</v>
      </c>
    </row>
    <row r="1353" spans="1:22">
      <c r="A1353" t="s">
        <v>903</v>
      </c>
      <c r="B1353">
        <v>25</v>
      </c>
      <c r="C1353">
        <v>1356</v>
      </c>
      <c r="D1353" t="s">
        <v>11</v>
      </c>
      <c r="E1353" t="s">
        <v>1497</v>
      </c>
      <c r="F1353" t="s">
        <v>1496</v>
      </c>
      <c r="G1353">
        <v>57</v>
      </c>
      <c r="H1353">
        <v>3</v>
      </c>
      <c r="I1353">
        <v>2</v>
      </c>
      <c r="J1353" t="s">
        <v>1474</v>
      </c>
      <c r="K1353" t="s">
        <v>1475</v>
      </c>
      <c r="L1353">
        <v>4</v>
      </c>
      <c r="M1353" t="s">
        <v>12</v>
      </c>
      <c r="N1353">
        <v>0</v>
      </c>
      <c r="O1353" t="s">
        <v>13</v>
      </c>
      <c r="P1353">
        <v>5</v>
      </c>
      <c r="Q1353" s="4">
        <v>45781</v>
      </c>
      <c r="R1353" s="4"/>
      <c r="S1353" t="str">
        <f>TEXT(Table1[[#This Row],[Hiring Date]],"mmmm")</f>
        <v>May</v>
      </c>
      <c r="T1353" s="1">
        <f>COUNTIF(S:S,Table1[[#This Row],[Months List]])</f>
        <v>0</v>
      </c>
      <c r="U1353" t="str">
        <f>TEXT(Table1[[#This Row],[Hiring Date]],"dddd")</f>
        <v>Sunday</v>
      </c>
      <c r="V1353" s="1" t="str">
        <f>TEXT(Table1[[#This Row],[Hiring Date]],"yyyy")</f>
        <v>2025</v>
      </c>
    </row>
    <row r="1354" spans="1:22">
      <c r="A1354" t="s">
        <v>904</v>
      </c>
      <c r="B1354">
        <v>30</v>
      </c>
      <c r="C1354">
        <v>1465</v>
      </c>
      <c r="D1354" t="s">
        <v>14</v>
      </c>
      <c r="E1354" t="s">
        <v>1495</v>
      </c>
      <c r="F1354" t="s">
        <v>1496</v>
      </c>
      <c r="G1354">
        <v>63</v>
      </c>
      <c r="H1354">
        <v>3</v>
      </c>
      <c r="I1354">
        <v>1</v>
      </c>
      <c r="J1354" t="s">
        <v>1476</v>
      </c>
      <c r="K1354" t="s">
        <v>1477</v>
      </c>
      <c r="L1354">
        <v>2</v>
      </c>
      <c r="M1354" t="s">
        <v>15</v>
      </c>
      <c r="N1354">
        <v>0</v>
      </c>
      <c r="O1354" t="s">
        <v>10</v>
      </c>
      <c r="P1354">
        <v>12</v>
      </c>
      <c r="Q1354" s="4">
        <v>45821</v>
      </c>
      <c r="R1354" s="4"/>
      <c r="S1354" t="str">
        <f>TEXT(Table1[[#This Row],[Hiring Date]],"mmmm")</f>
        <v>June</v>
      </c>
      <c r="T1354" s="1">
        <f>COUNTIF(S:S,Table1[[#This Row],[Months List]])</f>
        <v>0</v>
      </c>
      <c r="U1354" t="str">
        <f>TEXT(Table1[[#This Row],[Hiring Date]],"dddd")</f>
        <v>Friday</v>
      </c>
      <c r="V1354" s="1" t="str">
        <f>TEXT(Table1[[#This Row],[Hiring Date]],"yyyy")</f>
        <v>2025</v>
      </c>
    </row>
    <row r="1355" spans="1:22">
      <c r="A1355" t="s">
        <v>905</v>
      </c>
      <c r="B1355">
        <v>42</v>
      </c>
      <c r="C1355">
        <v>458</v>
      </c>
      <c r="D1355" t="s">
        <v>14</v>
      </c>
      <c r="E1355" t="s">
        <v>1495</v>
      </c>
      <c r="F1355" t="s">
        <v>1499</v>
      </c>
      <c r="G1355">
        <v>60</v>
      </c>
      <c r="H1355">
        <v>3</v>
      </c>
      <c r="I1355">
        <v>3</v>
      </c>
      <c r="J1355" t="s">
        <v>1487</v>
      </c>
      <c r="K1355" t="s">
        <v>1488</v>
      </c>
      <c r="L1355">
        <v>1</v>
      </c>
      <c r="M1355" t="s">
        <v>15</v>
      </c>
      <c r="N1355">
        <v>3</v>
      </c>
      <c r="O1355" t="s">
        <v>10</v>
      </c>
      <c r="P1355">
        <v>20</v>
      </c>
      <c r="Q1355" s="4">
        <v>45667</v>
      </c>
      <c r="R1355" s="4"/>
      <c r="S1355" t="str">
        <f>TEXT(Table1[[#This Row],[Hiring Date]],"mmmm")</f>
        <v>January</v>
      </c>
      <c r="T1355" s="1">
        <f>COUNTIF(S:S,Table1[[#This Row],[Months List]])</f>
        <v>0</v>
      </c>
      <c r="U1355" t="str">
        <f>TEXT(Table1[[#This Row],[Hiring Date]],"dddd")</f>
        <v>Friday</v>
      </c>
      <c r="V1355" s="1" t="str">
        <f>TEXT(Table1[[#This Row],[Hiring Date]],"yyyy")</f>
        <v>2025</v>
      </c>
    </row>
    <row r="1356" spans="1:22">
      <c r="A1356" t="s">
        <v>906</v>
      </c>
      <c r="B1356">
        <v>35</v>
      </c>
      <c r="C1356">
        <v>1212</v>
      </c>
      <c r="D1356" t="s">
        <v>11</v>
      </c>
      <c r="E1356" t="s">
        <v>1498</v>
      </c>
      <c r="F1356" t="s">
        <v>1499</v>
      </c>
      <c r="G1356">
        <v>78</v>
      </c>
      <c r="H1356">
        <v>2</v>
      </c>
      <c r="I1356">
        <v>3</v>
      </c>
      <c r="J1356" t="s">
        <v>1474</v>
      </c>
      <c r="K1356" t="s">
        <v>1475</v>
      </c>
      <c r="L1356">
        <v>4</v>
      </c>
      <c r="M1356" t="s">
        <v>15</v>
      </c>
      <c r="N1356">
        <v>4</v>
      </c>
      <c r="O1356" t="s">
        <v>10</v>
      </c>
      <c r="P1356">
        <v>16</v>
      </c>
      <c r="Q1356" s="4">
        <v>45692</v>
      </c>
      <c r="R1356" s="4"/>
      <c r="S1356" t="str">
        <f>TEXT(Table1[[#This Row],[Hiring Date]],"mmmm")</f>
        <v>February</v>
      </c>
      <c r="T1356" s="1">
        <f>COUNTIF(S:S,Table1[[#This Row],[Months List]])</f>
        <v>0</v>
      </c>
      <c r="U1356" t="str">
        <f>TEXT(Table1[[#This Row],[Hiring Date]],"dddd")</f>
        <v>Tuesday</v>
      </c>
      <c r="V1356" s="1" t="str">
        <f>TEXT(Table1[[#This Row],[Hiring Date]],"yyyy")</f>
        <v>2025</v>
      </c>
    </row>
    <row r="1357" spans="1:22">
      <c r="A1357" t="s">
        <v>97</v>
      </c>
      <c r="B1357">
        <v>46</v>
      </c>
      <c r="C1357">
        <v>945</v>
      </c>
      <c r="D1357" t="s">
        <v>17</v>
      </c>
      <c r="E1357" t="s">
        <v>1495</v>
      </c>
      <c r="F1357" t="s">
        <v>1496</v>
      </c>
      <c r="G1357">
        <v>80</v>
      </c>
      <c r="H1357">
        <v>3</v>
      </c>
      <c r="I1357">
        <v>2</v>
      </c>
      <c r="J1357" t="s">
        <v>1486</v>
      </c>
      <c r="K1357" t="s">
        <v>17</v>
      </c>
      <c r="L1357">
        <v>2</v>
      </c>
      <c r="M1357" t="s">
        <v>16</v>
      </c>
      <c r="N1357">
        <v>8</v>
      </c>
      <c r="O1357" t="s">
        <v>10</v>
      </c>
      <c r="P1357">
        <v>16</v>
      </c>
      <c r="Q1357" s="4">
        <v>45992</v>
      </c>
      <c r="R1357" s="4"/>
      <c r="S1357" t="str">
        <f>TEXT(Table1[[#This Row],[Hiring Date]],"mmmm")</f>
        <v>December</v>
      </c>
      <c r="T1357" s="1">
        <f>COUNTIF(S:S,Table1[[#This Row],[Months List]])</f>
        <v>0</v>
      </c>
      <c r="U1357" t="str">
        <f>TEXT(Table1[[#This Row],[Hiring Date]],"dddd")</f>
        <v>Monday</v>
      </c>
      <c r="V1357" s="1" t="str">
        <f>TEXT(Table1[[#This Row],[Hiring Date]],"yyyy")</f>
        <v>2025</v>
      </c>
    </row>
    <row r="1358" spans="1:22">
      <c r="A1358" t="s">
        <v>907</v>
      </c>
      <c r="B1358">
        <v>27</v>
      </c>
      <c r="C1358">
        <v>1103</v>
      </c>
      <c r="D1358" t="s">
        <v>14</v>
      </c>
      <c r="E1358" t="s">
        <v>1497</v>
      </c>
      <c r="F1358" t="s">
        <v>1496</v>
      </c>
      <c r="G1358">
        <v>42</v>
      </c>
      <c r="H1358">
        <v>3</v>
      </c>
      <c r="I1358">
        <v>1</v>
      </c>
      <c r="J1358" t="s">
        <v>1476</v>
      </c>
      <c r="K1358" t="s">
        <v>1477</v>
      </c>
      <c r="L1358">
        <v>1</v>
      </c>
      <c r="M1358" t="s">
        <v>15</v>
      </c>
      <c r="N1358">
        <v>1</v>
      </c>
      <c r="O1358" t="s">
        <v>10</v>
      </c>
      <c r="P1358">
        <v>9</v>
      </c>
      <c r="Q1358" s="4">
        <v>45750</v>
      </c>
      <c r="R1358" s="4"/>
      <c r="S1358" t="str">
        <f>TEXT(Table1[[#This Row],[Hiring Date]],"mmmm")</f>
        <v>April</v>
      </c>
      <c r="T1358" s="1">
        <f>COUNTIF(S:S,Table1[[#This Row],[Months List]])</f>
        <v>0</v>
      </c>
      <c r="U1358" t="str">
        <f>TEXT(Table1[[#This Row],[Hiring Date]],"dddd")</f>
        <v>Thursday</v>
      </c>
      <c r="V1358" s="1" t="str">
        <f>TEXT(Table1[[#This Row],[Hiring Date]],"yyyy")</f>
        <v>2025</v>
      </c>
    </row>
    <row r="1359" spans="1:22">
      <c r="A1359" t="s">
        <v>908</v>
      </c>
      <c r="B1359">
        <v>54</v>
      </c>
      <c r="C1359">
        <v>966</v>
      </c>
      <c r="D1359" t="s">
        <v>14</v>
      </c>
      <c r="E1359" t="s">
        <v>1497</v>
      </c>
      <c r="F1359" t="s">
        <v>1499</v>
      </c>
      <c r="G1359">
        <v>53</v>
      </c>
      <c r="H1359">
        <v>3</v>
      </c>
      <c r="I1359">
        <v>3</v>
      </c>
      <c r="J1359" t="s">
        <v>1480</v>
      </c>
      <c r="K1359" t="s">
        <v>1481</v>
      </c>
      <c r="L1359">
        <v>3</v>
      </c>
      <c r="M1359" t="s">
        <v>16</v>
      </c>
      <c r="N1359">
        <v>7</v>
      </c>
      <c r="O1359" t="s">
        <v>13</v>
      </c>
      <c r="P1359">
        <v>33</v>
      </c>
      <c r="Q1359" s="4">
        <v>45971</v>
      </c>
      <c r="R1359" s="4"/>
      <c r="S1359" t="str">
        <f>TEXT(Table1[[#This Row],[Hiring Date]],"mmmm")</f>
        <v>November</v>
      </c>
      <c r="T1359" s="1">
        <f>COUNTIF(S:S,Table1[[#This Row],[Months List]])</f>
        <v>0</v>
      </c>
      <c r="U1359" t="str">
        <f>TEXT(Table1[[#This Row],[Hiring Date]],"dddd")</f>
        <v>Monday</v>
      </c>
      <c r="V1359" s="1" t="str">
        <f>TEXT(Table1[[#This Row],[Hiring Date]],"yyyy")</f>
        <v>2025</v>
      </c>
    </row>
    <row r="1360" spans="1:22">
      <c r="A1360" t="s">
        <v>909</v>
      </c>
      <c r="B1360">
        <v>44</v>
      </c>
      <c r="C1360">
        <v>1117</v>
      </c>
      <c r="D1360" t="s">
        <v>14</v>
      </c>
      <c r="E1360" t="s">
        <v>1497</v>
      </c>
      <c r="F1360" t="s">
        <v>1499</v>
      </c>
      <c r="G1360">
        <v>72</v>
      </c>
      <c r="H1360">
        <v>4</v>
      </c>
      <c r="I1360">
        <v>1</v>
      </c>
      <c r="J1360" t="s">
        <v>1476</v>
      </c>
      <c r="K1360" t="s">
        <v>1477</v>
      </c>
      <c r="L1360">
        <v>4</v>
      </c>
      <c r="M1360" t="s">
        <v>15</v>
      </c>
      <c r="N1360">
        <v>1</v>
      </c>
      <c r="O1360" t="s">
        <v>13</v>
      </c>
      <c r="P1360">
        <v>10</v>
      </c>
      <c r="Q1360" s="4">
        <v>45962</v>
      </c>
      <c r="R1360" s="4"/>
      <c r="S1360" t="str">
        <f>TEXT(Table1[[#This Row],[Hiring Date]],"mmmm")</f>
        <v>November</v>
      </c>
      <c r="T1360" s="1">
        <f>COUNTIF(S:S,Table1[[#This Row],[Months List]])</f>
        <v>0</v>
      </c>
      <c r="U1360" t="str">
        <f>TEXT(Table1[[#This Row],[Hiring Date]],"dddd")</f>
        <v>Saturday</v>
      </c>
      <c r="V1360" s="1" t="str">
        <f>TEXT(Table1[[#This Row],[Hiring Date]],"yyyy")</f>
        <v>2025</v>
      </c>
    </row>
    <row r="1361" spans="1:22">
      <c r="A1361" t="s">
        <v>910</v>
      </c>
      <c r="B1361">
        <v>19</v>
      </c>
      <c r="C1361">
        <v>504</v>
      </c>
      <c r="D1361" t="s">
        <v>14</v>
      </c>
      <c r="E1361" t="s">
        <v>1495</v>
      </c>
      <c r="F1361" t="s">
        <v>1499</v>
      </c>
      <c r="G1361">
        <v>96</v>
      </c>
      <c r="H1361">
        <v>2</v>
      </c>
      <c r="I1361">
        <v>1</v>
      </c>
      <c r="J1361" t="s">
        <v>1476</v>
      </c>
      <c r="K1361" t="s">
        <v>1477</v>
      </c>
      <c r="L1361">
        <v>2</v>
      </c>
      <c r="M1361" t="s">
        <v>12</v>
      </c>
      <c r="N1361">
        <v>1</v>
      </c>
      <c r="O1361" t="s">
        <v>10</v>
      </c>
      <c r="P1361">
        <v>1</v>
      </c>
      <c r="Q1361" s="4">
        <v>45703</v>
      </c>
      <c r="R1361" s="4"/>
      <c r="S1361" t="str">
        <f>TEXT(Table1[[#This Row],[Hiring Date]],"mmmm")</f>
        <v>February</v>
      </c>
      <c r="T1361" s="1">
        <f>COUNTIF(S:S,Table1[[#This Row],[Months List]])</f>
        <v>0</v>
      </c>
      <c r="U1361" t="str">
        <f>TEXT(Table1[[#This Row],[Hiring Date]],"dddd")</f>
        <v>Saturday</v>
      </c>
      <c r="V1361" s="1" t="str">
        <f>TEXT(Table1[[#This Row],[Hiring Date]],"yyyy")</f>
        <v>2025</v>
      </c>
    </row>
    <row r="1362" spans="1:22">
      <c r="A1362" t="s">
        <v>911</v>
      </c>
      <c r="B1362">
        <v>29</v>
      </c>
      <c r="C1362">
        <v>1010</v>
      </c>
      <c r="D1362" t="s">
        <v>14</v>
      </c>
      <c r="E1362" t="s">
        <v>1497</v>
      </c>
      <c r="F1362" t="s">
        <v>1499</v>
      </c>
      <c r="G1362">
        <v>97</v>
      </c>
      <c r="H1362">
        <v>3</v>
      </c>
      <c r="I1362">
        <v>1</v>
      </c>
      <c r="J1362" t="s">
        <v>1476</v>
      </c>
      <c r="K1362" t="s">
        <v>1477</v>
      </c>
      <c r="L1362">
        <v>4</v>
      </c>
      <c r="M1362" t="s">
        <v>16</v>
      </c>
      <c r="N1362">
        <v>1</v>
      </c>
      <c r="O1362" t="s">
        <v>13</v>
      </c>
      <c r="P1362">
        <v>3</v>
      </c>
      <c r="Q1362" s="4">
        <v>45710</v>
      </c>
      <c r="R1362" s="4"/>
      <c r="S1362" t="str">
        <f>TEXT(Table1[[#This Row],[Hiring Date]],"mmmm")</f>
        <v>February</v>
      </c>
      <c r="T1362" s="1">
        <f>COUNTIF(S:S,Table1[[#This Row],[Months List]])</f>
        <v>0</v>
      </c>
      <c r="U1362" t="str">
        <f>TEXT(Table1[[#This Row],[Hiring Date]],"dddd")</f>
        <v>Saturday</v>
      </c>
      <c r="V1362" s="1" t="str">
        <f>TEXT(Table1[[#This Row],[Hiring Date]],"yyyy")</f>
        <v>2025</v>
      </c>
    </row>
    <row r="1363" spans="1:22">
      <c r="A1363" t="s">
        <v>912</v>
      </c>
      <c r="B1363">
        <v>54</v>
      </c>
      <c r="C1363">
        <v>685</v>
      </c>
      <c r="D1363" t="s">
        <v>14</v>
      </c>
      <c r="E1363" t="s">
        <v>1497</v>
      </c>
      <c r="F1363" t="s">
        <v>1496</v>
      </c>
      <c r="G1363">
        <v>85</v>
      </c>
      <c r="H1363">
        <v>3</v>
      </c>
      <c r="I1363">
        <v>4</v>
      </c>
      <c r="J1363" t="s">
        <v>1487</v>
      </c>
      <c r="K1363" t="s">
        <v>1488</v>
      </c>
      <c r="L1363">
        <v>4</v>
      </c>
      <c r="M1363" t="s">
        <v>15</v>
      </c>
      <c r="N1363">
        <v>3</v>
      </c>
      <c r="O1363" t="s">
        <v>13</v>
      </c>
      <c r="P1363">
        <v>36</v>
      </c>
      <c r="Q1363" s="4">
        <v>45946</v>
      </c>
      <c r="R1363" s="4"/>
      <c r="S1363" t="str">
        <f>TEXT(Table1[[#This Row],[Hiring Date]],"mmmm")</f>
        <v>October</v>
      </c>
      <c r="T1363" s="1">
        <f>COUNTIF(S:S,Table1[[#This Row],[Months List]])</f>
        <v>0</v>
      </c>
      <c r="U1363" t="str">
        <f>TEXT(Table1[[#This Row],[Hiring Date]],"dddd")</f>
        <v>Thursday</v>
      </c>
      <c r="V1363" s="1" t="str">
        <f>TEXT(Table1[[#This Row],[Hiring Date]],"yyyy")</f>
        <v>2025</v>
      </c>
    </row>
    <row r="1364" spans="1:22">
      <c r="A1364" t="s">
        <v>913</v>
      </c>
      <c r="B1364">
        <v>31</v>
      </c>
      <c r="C1364">
        <v>1332</v>
      </c>
      <c r="D1364" t="s">
        <v>14</v>
      </c>
      <c r="E1364" t="s">
        <v>1495</v>
      </c>
      <c r="F1364" t="s">
        <v>1496</v>
      </c>
      <c r="G1364">
        <v>80</v>
      </c>
      <c r="H1364">
        <v>3</v>
      </c>
      <c r="I1364">
        <v>2</v>
      </c>
      <c r="J1364" t="s">
        <v>1478</v>
      </c>
      <c r="K1364" t="s">
        <v>1479</v>
      </c>
      <c r="L1364">
        <v>1</v>
      </c>
      <c r="M1364" t="s">
        <v>15</v>
      </c>
      <c r="N1364">
        <v>1</v>
      </c>
      <c r="O1364" t="s">
        <v>10</v>
      </c>
      <c r="P1364">
        <v>6</v>
      </c>
      <c r="Q1364" s="4">
        <v>45836</v>
      </c>
      <c r="R1364" s="4"/>
      <c r="S1364" t="str">
        <f>TEXT(Table1[[#This Row],[Hiring Date]],"mmmm")</f>
        <v>June</v>
      </c>
      <c r="T1364" s="1">
        <f>COUNTIF(S:S,Table1[[#This Row],[Months List]])</f>
        <v>0</v>
      </c>
      <c r="U1364" t="str">
        <f>TEXT(Table1[[#This Row],[Hiring Date]],"dddd")</f>
        <v>Saturday</v>
      </c>
      <c r="V1364" s="1" t="str">
        <f>TEXT(Table1[[#This Row],[Hiring Date]],"yyyy")</f>
        <v>2025</v>
      </c>
    </row>
    <row r="1365" spans="1:22">
      <c r="A1365" t="s">
        <v>914</v>
      </c>
      <c r="B1365">
        <v>31</v>
      </c>
      <c r="C1365">
        <v>1062</v>
      </c>
      <c r="D1365" t="s">
        <v>14</v>
      </c>
      <c r="E1365" t="s">
        <v>1495</v>
      </c>
      <c r="F1365" t="s">
        <v>1499</v>
      </c>
      <c r="G1365">
        <v>96</v>
      </c>
      <c r="H1365">
        <v>2</v>
      </c>
      <c r="I1365">
        <v>2</v>
      </c>
      <c r="J1365" t="s">
        <v>1478</v>
      </c>
      <c r="K1365" t="s">
        <v>1479</v>
      </c>
      <c r="L1365">
        <v>1</v>
      </c>
      <c r="M1365" t="s">
        <v>12</v>
      </c>
      <c r="N1365">
        <v>1</v>
      </c>
      <c r="O1365" t="s">
        <v>13</v>
      </c>
      <c r="P1365">
        <v>10</v>
      </c>
      <c r="Q1365" s="4">
        <v>45931</v>
      </c>
      <c r="R1365" s="4"/>
      <c r="S1365" t="str">
        <f>TEXT(Table1[[#This Row],[Hiring Date]],"mmmm")</f>
        <v>October</v>
      </c>
      <c r="T1365" s="1">
        <f>COUNTIF(S:S,Table1[[#This Row],[Months List]])</f>
        <v>0</v>
      </c>
      <c r="U1365" t="str">
        <f>TEXT(Table1[[#This Row],[Hiring Date]],"dddd")</f>
        <v>Wednesday</v>
      </c>
      <c r="V1365" s="1" t="str">
        <f>TEXT(Table1[[#This Row],[Hiring Date]],"yyyy")</f>
        <v>2025</v>
      </c>
    </row>
    <row r="1366" spans="1:22">
      <c r="A1366" t="s">
        <v>915</v>
      </c>
      <c r="B1366">
        <v>59</v>
      </c>
      <c r="C1366">
        <v>326</v>
      </c>
      <c r="D1366" t="s">
        <v>11</v>
      </c>
      <c r="E1366" t="s">
        <v>1497</v>
      </c>
      <c r="F1366" t="s">
        <v>1499</v>
      </c>
      <c r="G1366">
        <v>48</v>
      </c>
      <c r="H1366">
        <v>2</v>
      </c>
      <c r="I1366">
        <v>2</v>
      </c>
      <c r="J1366" t="s">
        <v>1474</v>
      </c>
      <c r="K1366" t="s">
        <v>1475</v>
      </c>
      <c r="L1366">
        <v>4</v>
      </c>
      <c r="M1366" t="s">
        <v>12</v>
      </c>
      <c r="N1366">
        <v>5</v>
      </c>
      <c r="O1366" t="s">
        <v>13</v>
      </c>
      <c r="P1366">
        <v>13</v>
      </c>
      <c r="Q1366" s="4">
        <v>45683</v>
      </c>
      <c r="R1366" s="4"/>
      <c r="S1366" t="str">
        <f>TEXT(Table1[[#This Row],[Hiring Date]],"mmmm")</f>
        <v>January</v>
      </c>
      <c r="T1366" s="1">
        <f>COUNTIF(S:S,Table1[[#This Row],[Months List]])</f>
        <v>0</v>
      </c>
      <c r="U1366" t="str">
        <f>TEXT(Table1[[#This Row],[Hiring Date]],"dddd")</f>
        <v>Sunday</v>
      </c>
      <c r="V1366" s="1" t="str">
        <f>TEXT(Table1[[#This Row],[Hiring Date]],"yyyy")</f>
        <v>2025</v>
      </c>
    </row>
    <row r="1367" spans="1:22">
      <c r="A1367" t="s">
        <v>916</v>
      </c>
      <c r="B1367">
        <v>43</v>
      </c>
      <c r="C1367">
        <v>920</v>
      </c>
      <c r="D1367" t="s">
        <v>14</v>
      </c>
      <c r="E1367" t="s">
        <v>1497</v>
      </c>
      <c r="F1367" t="s">
        <v>1496</v>
      </c>
      <c r="G1367">
        <v>96</v>
      </c>
      <c r="H1367">
        <v>1</v>
      </c>
      <c r="I1367">
        <v>5</v>
      </c>
      <c r="J1367" t="s">
        <v>1487</v>
      </c>
      <c r="K1367" t="s">
        <v>1488</v>
      </c>
      <c r="L1367">
        <v>4</v>
      </c>
      <c r="M1367" t="s">
        <v>15</v>
      </c>
      <c r="N1367">
        <v>3</v>
      </c>
      <c r="O1367" t="s">
        <v>13</v>
      </c>
      <c r="P1367">
        <v>25</v>
      </c>
      <c r="Q1367" s="4">
        <v>45982</v>
      </c>
      <c r="R1367" s="4"/>
      <c r="S1367" t="str">
        <f>TEXT(Table1[[#This Row],[Hiring Date]],"mmmm")</f>
        <v>November</v>
      </c>
      <c r="T1367" s="1">
        <f>COUNTIF(S:S,Table1[[#This Row],[Months List]])</f>
        <v>0</v>
      </c>
      <c r="U1367" t="str">
        <f>TEXT(Table1[[#This Row],[Hiring Date]],"dddd")</f>
        <v>Friday</v>
      </c>
      <c r="V1367" s="1" t="str">
        <f>TEXT(Table1[[#This Row],[Hiring Date]],"yyyy")</f>
        <v>2025</v>
      </c>
    </row>
    <row r="1368" spans="1:22">
      <c r="A1368" t="s">
        <v>98</v>
      </c>
      <c r="B1368">
        <v>30</v>
      </c>
      <c r="C1368">
        <v>852</v>
      </c>
      <c r="D1368" t="s">
        <v>14</v>
      </c>
      <c r="E1368" t="s">
        <v>1497</v>
      </c>
      <c r="F1368" t="s">
        <v>1496</v>
      </c>
      <c r="G1368">
        <v>55</v>
      </c>
      <c r="H1368">
        <v>2</v>
      </c>
      <c r="I1368">
        <v>2</v>
      </c>
      <c r="J1368" t="s">
        <v>1484</v>
      </c>
      <c r="K1368" t="s">
        <v>1485</v>
      </c>
      <c r="L1368">
        <v>4</v>
      </c>
      <c r="M1368" t="s">
        <v>15</v>
      </c>
      <c r="N1368">
        <v>1</v>
      </c>
      <c r="O1368" t="s">
        <v>10</v>
      </c>
      <c r="P1368">
        <v>10</v>
      </c>
      <c r="Q1368" s="4">
        <v>45857</v>
      </c>
      <c r="R1368" s="4"/>
      <c r="S1368" t="str">
        <f>TEXT(Table1[[#This Row],[Hiring Date]],"mmmm")</f>
        <v>July</v>
      </c>
      <c r="T1368" s="1">
        <f>COUNTIF(S:S,Table1[[#This Row],[Months List]])</f>
        <v>0</v>
      </c>
      <c r="U1368" t="str">
        <f>TEXT(Table1[[#This Row],[Hiring Date]],"dddd")</f>
        <v>Saturday</v>
      </c>
      <c r="V1368" s="1" t="str">
        <f>TEXT(Table1[[#This Row],[Hiring Date]],"yyyy")</f>
        <v>2025</v>
      </c>
    </row>
    <row r="1369" spans="1:22">
      <c r="A1369" t="s">
        <v>917</v>
      </c>
      <c r="B1369">
        <v>49</v>
      </c>
      <c r="C1369">
        <v>1098</v>
      </c>
      <c r="D1369" t="s">
        <v>14</v>
      </c>
      <c r="E1369" t="s">
        <v>1495</v>
      </c>
      <c r="F1369" t="s">
        <v>1496</v>
      </c>
      <c r="G1369">
        <v>85</v>
      </c>
      <c r="H1369">
        <v>2</v>
      </c>
      <c r="I1369">
        <v>5</v>
      </c>
      <c r="J1369" t="s">
        <v>1482</v>
      </c>
      <c r="K1369" t="s">
        <v>1483</v>
      </c>
      <c r="L1369">
        <v>3</v>
      </c>
      <c r="M1369" t="s">
        <v>15</v>
      </c>
      <c r="N1369">
        <v>2</v>
      </c>
      <c r="O1369" t="s">
        <v>13</v>
      </c>
      <c r="P1369">
        <v>23</v>
      </c>
      <c r="Q1369" s="4">
        <v>45900</v>
      </c>
      <c r="R1369" s="4"/>
      <c r="S1369" t="str">
        <f>TEXT(Table1[[#This Row],[Hiring Date]],"mmmm")</f>
        <v>August</v>
      </c>
      <c r="T1369" s="1">
        <f>COUNTIF(S:S,Table1[[#This Row],[Months List]])</f>
        <v>0</v>
      </c>
      <c r="U1369" t="str">
        <f>TEXT(Table1[[#This Row],[Hiring Date]],"dddd")</f>
        <v>Sunday</v>
      </c>
      <c r="V1369" s="1" t="str">
        <f>TEXT(Table1[[#This Row],[Hiring Date]],"yyyy")</f>
        <v>2025</v>
      </c>
    </row>
    <row r="1370" spans="1:22">
      <c r="A1370" t="s">
        <v>918</v>
      </c>
      <c r="B1370">
        <v>36</v>
      </c>
      <c r="C1370">
        <v>469</v>
      </c>
      <c r="D1370" t="s">
        <v>14</v>
      </c>
      <c r="E1370" t="s">
        <v>1501</v>
      </c>
      <c r="F1370" t="s">
        <v>1496</v>
      </c>
      <c r="G1370">
        <v>46</v>
      </c>
      <c r="H1370">
        <v>3</v>
      </c>
      <c r="I1370">
        <v>1</v>
      </c>
      <c r="J1370" t="s">
        <v>1476</v>
      </c>
      <c r="K1370" t="s">
        <v>1477</v>
      </c>
      <c r="L1370">
        <v>2</v>
      </c>
      <c r="M1370" t="s">
        <v>15</v>
      </c>
      <c r="N1370">
        <v>1</v>
      </c>
      <c r="O1370" t="s">
        <v>13</v>
      </c>
      <c r="P1370">
        <v>12</v>
      </c>
      <c r="Q1370" s="4">
        <v>45803</v>
      </c>
      <c r="R1370" s="4"/>
      <c r="S1370" t="str">
        <f>TEXT(Table1[[#This Row],[Hiring Date]],"mmmm")</f>
        <v>May</v>
      </c>
      <c r="T1370" s="1">
        <f>COUNTIF(S:S,Table1[[#This Row],[Months List]])</f>
        <v>0</v>
      </c>
      <c r="U1370" t="str">
        <f>TEXT(Table1[[#This Row],[Hiring Date]],"dddd")</f>
        <v>Monday</v>
      </c>
      <c r="V1370" s="1" t="str">
        <f>TEXT(Table1[[#This Row],[Hiring Date]],"yyyy")</f>
        <v>2025</v>
      </c>
    </row>
    <row r="1371" spans="1:22">
      <c r="A1371" t="s">
        <v>919</v>
      </c>
      <c r="B1371">
        <v>48</v>
      </c>
      <c r="C1371">
        <v>969</v>
      </c>
      <c r="D1371" t="s">
        <v>14</v>
      </c>
      <c r="E1371" t="s">
        <v>1501</v>
      </c>
      <c r="F1371" t="s">
        <v>1496</v>
      </c>
      <c r="G1371">
        <v>76</v>
      </c>
      <c r="H1371">
        <v>4</v>
      </c>
      <c r="I1371">
        <v>1</v>
      </c>
      <c r="J1371" t="s">
        <v>1484</v>
      </c>
      <c r="K1371" t="s">
        <v>1485</v>
      </c>
      <c r="L1371">
        <v>2</v>
      </c>
      <c r="M1371" t="s">
        <v>12</v>
      </c>
      <c r="N1371">
        <v>5</v>
      </c>
      <c r="O1371" t="s">
        <v>13</v>
      </c>
      <c r="P1371">
        <v>7</v>
      </c>
      <c r="Q1371" s="4">
        <v>45900</v>
      </c>
      <c r="R1371" s="4"/>
      <c r="S1371" t="str">
        <f>TEXT(Table1[[#This Row],[Hiring Date]],"mmmm")</f>
        <v>August</v>
      </c>
      <c r="T1371" s="1">
        <f>COUNTIF(S:S,Table1[[#This Row],[Months List]])</f>
        <v>0</v>
      </c>
      <c r="U1371" t="str">
        <f>TEXT(Table1[[#This Row],[Hiring Date]],"dddd")</f>
        <v>Sunday</v>
      </c>
      <c r="V1371" s="1" t="str">
        <f>TEXT(Table1[[#This Row],[Hiring Date]],"yyyy")</f>
        <v>2025</v>
      </c>
    </row>
    <row r="1372" spans="1:22">
      <c r="A1372" t="s">
        <v>920</v>
      </c>
      <c r="B1372">
        <v>27</v>
      </c>
      <c r="C1372">
        <v>1167</v>
      </c>
      <c r="D1372" t="s">
        <v>14</v>
      </c>
      <c r="E1372" t="s">
        <v>1497</v>
      </c>
      <c r="F1372" t="s">
        <v>1496</v>
      </c>
      <c r="G1372">
        <v>76</v>
      </c>
      <c r="H1372">
        <v>3</v>
      </c>
      <c r="I1372">
        <v>1</v>
      </c>
      <c r="J1372" t="s">
        <v>1476</v>
      </c>
      <c r="K1372" t="s">
        <v>1477</v>
      </c>
      <c r="L1372">
        <v>3</v>
      </c>
      <c r="M1372" t="s">
        <v>16</v>
      </c>
      <c r="N1372">
        <v>1</v>
      </c>
      <c r="O1372" t="s">
        <v>13</v>
      </c>
      <c r="P1372">
        <v>5</v>
      </c>
      <c r="Q1372" s="4">
        <v>45777</v>
      </c>
      <c r="R1372" s="4"/>
      <c r="S1372" t="str">
        <f>TEXT(Table1[[#This Row],[Hiring Date]],"mmmm")</f>
        <v>April</v>
      </c>
      <c r="T1372" s="1">
        <f>COUNTIF(S:S,Table1[[#This Row],[Months List]])</f>
        <v>0</v>
      </c>
      <c r="U1372" t="str">
        <f>TEXT(Table1[[#This Row],[Hiring Date]],"dddd")</f>
        <v>Wednesday</v>
      </c>
      <c r="V1372" s="1" t="str">
        <f>TEXT(Table1[[#This Row],[Hiring Date]],"yyyy")</f>
        <v>2025</v>
      </c>
    </row>
    <row r="1373" spans="1:22">
      <c r="A1373" t="s">
        <v>921</v>
      </c>
      <c r="B1373">
        <v>29</v>
      </c>
      <c r="C1373">
        <v>1329</v>
      </c>
      <c r="D1373" t="s">
        <v>14</v>
      </c>
      <c r="E1373" t="s">
        <v>1497</v>
      </c>
      <c r="F1373" t="s">
        <v>1496</v>
      </c>
      <c r="G1373">
        <v>82</v>
      </c>
      <c r="H1373">
        <v>3</v>
      </c>
      <c r="I1373">
        <v>2</v>
      </c>
      <c r="J1373" t="s">
        <v>1478</v>
      </c>
      <c r="K1373" t="s">
        <v>1479</v>
      </c>
      <c r="L1373">
        <v>4</v>
      </c>
      <c r="M1373" t="s">
        <v>16</v>
      </c>
      <c r="N1373">
        <v>1</v>
      </c>
      <c r="O1373" t="s">
        <v>10</v>
      </c>
      <c r="P1373">
        <v>6</v>
      </c>
      <c r="Q1373" s="4">
        <v>45766</v>
      </c>
      <c r="R1373" s="4"/>
      <c r="S1373" t="str">
        <f>TEXT(Table1[[#This Row],[Hiring Date]],"mmmm")</f>
        <v>April</v>
      </c>
      <c r="T1373" s="1">
        <f>COUNTIF(S:S,Table1[[#This Row],[Months List]])</f>
        <v>0</v>
      </c>
      <c r="U1373" t="str">
        <f>TEXT(Table1[[#This Row],[Hiring Date]],"dddd")</f>
        <v>Saturday</v>
      </c>
      <c r="V1373" s="1" t="str">
        <f>TEXT(Table1[[#This Row],[Hiring Date]],"yyyy")</f>
        <v>2025</v>
      </c>
    </row>
    <row r="1374" spans="1:22">
      <c r="A1374" t="s">
        <v>922</v>
      </c>
      <c r="B1374">
        <v>48</v>
      </c>
      <c r="C1374">
        <v>715</v>
      </c>
      <c r="D1374" t="s">
        <v>14</v>
      </c>
      <c r="E1374" t="s">
        <v>1497</v>
      </c>
      <c r="F1374" t="s">
        <v>1496</v>
      </c>
      <c r="G1374">
        <v>76</v>
      </c>
      <c r="H1374">
        <v>2</v>
      </c>
      <c r="I1374">
        <v>5</v>
      </c>
      <c r="J1374" t="s">
        <v>1487</v>
      </c>
      <c r="K1374" t="s">
        <v>1488</v>
      </c>
      <c r="L1374">
        <v>4</v>
      </c>
      <c r="M1374" t="s">
        <v>12</v>
      </c>
      <c r="N1374">
        <v>6</v>
      </c>
      <c r="O1374" t="s">
        <v>13</v>
      </c>
      <c r="P1374">
        <v>25</v>
      </c>
      <c r="Q1374" s="4">
        <v>45798</v>
      </c>
      <c r="R1374" s="4"/>
      <c r="S1374" t="str">
        <f>TEXT(Table1[[#This Row],[Hiring Date]],"mmmm")</f>
        <v>May</v>
      </c>
      <c r="T1374" s="1">
        <f>COUNTIF(S:S,Table1[[#This Row],[Months List]])</f>
        <v>0</v>
      </c>
      <c r="U1374" t="str">
        <f>TEXT(Table1[[#This Row],[Hiring Date]],"dddd")</f>
        <v>Wednesday</v>
      </c>
      <c r="V1374" s="1" t="str">
        <f>TEXT(Table1[[#This Row],[Hiring Date]],"yyyy")</f>
        <v>2025</v>
      </c>
    </row>
    <row r="1375" spans="1:22">
      <c r="A1375" t="s">
        <v>923</v>
      </c>
      <c r="B1375">
        <v>29</v>
      </c>
      <c r="C1375">
        <v>694</v>
      </c>
      <c r="D1375" t="s">
        <v>14</v>
      </c>
      <c r="E1375" t="s">
        <v>1497</v>
      </c>
      <c r="F1375" t="s">
        <v>1499</v>
      </c>
      <c r="G1375">
        <v>87</v>
      </c>
      <c r="H1375">
        <v>2</v>
      </c>
      <c r="I1375">
        <v>4</v>
      </c>
      <c r="J1375" t="s">
        <v>1487</v>
      </c>
      <c r="K1375" t="s">
        <v>1488</v>
      </c>
      <c r="L1375">
        <v>4</v>
      </c>
      <c r="M1375" t="s">
        <v>16</v>
      </c>
      <c r="N1375">
        <v>3</v>
      </c>
      <c r="O1375" t="s">
        <v>13</v>
      </c>
      <c r="P1375">
        <v>9</v>
      </c>
      <c r="Q1375" s="4">
        <v>45696</v>
      </c>
      <c r="R1375" s="4"/>
      <c r="S1375" t="str">
        <f>TEXT(Table1[[#This Row],[Hiring Date]],"mmmm")</f>
        <v>February</v>
      </c>
      <c r="T1375" s="1">
        <f>COUNTIF(S:S,Table1[[#This Row],[Months List]])</f>
        <v>0</v>
      </c>
      <c r="U1375" t="str">
        <f>TEXT(Table1[[#This Row],[Hiring Date]],"dddd")</f>
        <v>Saturday</v>
      </c>
      <c r="V1375" s="1" t="str">
        <f>TEXT(Table1[[#This Row],[Hiring Date]],"yyyy")</f>
        <v>2025</v>
      </c>
    </row>
    <row r="1376" spans="1:22">
      <c r="A1376" t="s">
        <v>924</v>
      </c>
      <c r="B1376">
        <v>34</v>
      </c>
      <c r="C1376">
        <v>1320</v>
      </c>
      <c r="D1376" t="s">
        <v>14</v>
      </c>
      <c r="E1376" t="s">
        <v>1501</v>
      </c>
      <c r="F1376" t="s">
        <v>1499</v>
      </c>
      <c r="G1376">
        <v>89</v>
      </c>
      <c r="H1376">
        <v>4</v>
      </c>
      <c r="I1376">
        <v>1</v>
      </c>
      <c r="J1376" t="s">
        <v>1476</v>
      </c>
      <c r="K1376" t="s">
        <v>1477</v>
      </c>
      <c r="L1376">
        <v>3</v>
      </c>
      <c r="M1376" t="s">
        <v>15</v>
      </c>
      <c r="N1376">
        <v>0</v>
      </c>
      <c r="O1376" t="s">
        <v>13</v>
      </c>
      <c r="P1376">
        <v>2</v>
      </c>
      <c r="Q1376" s="4">
        <v>45787</v>
      </c>
      <c r="R1376" s="4"/>
      <c r="S1376" t="str">
        <f>TEXT(Table1[[#This Row],[Hiring Date]],"mmmm")</f>
        <v>May</v>
      </c>
      <c r="T1376" s="1">
        <f>COUNTIF(S:S,Table1[[#This Row],[Months List]])</f>
        <v>0</v>
      </c>
      <c r="U1376" t="str">
        <f>TEXT(Table1[[#This Row],[Hiring Date]],"dddd")</f>
        <v>Saturday</v>
      </c>
      <c r="V1376" s="1" t="str">
        <f>TEXT(Table1[[#This Row],[Hiring Date]],"yyyy")</f>
        <v>2025</v>
      </c>
    </row>
    <row r="1377" spans="1:22">
      <c r="A1377" t="s">
        <v>925</v>
      </c>
      <c r="B1377">
        <v>44</v>
      </c>
      <c r="C1377">
        <v>1099</v>
      </c>
      <c r="D1377" t="s">
        <v>11</v>
      </c>
      <c r="E1377" t="s">
        <v>1498</v>
      </c>
      <c r="F1377" t="s">
        <v>1496</v>
      </c>
      <c r="G1377">
        <v>88</v>
      </c>
      <c r="H1377">
        <v>3</v>
      </c>
      <c r="I1377">
        <v>5</v>
      </c>
      <c r="J1377" t="s">
        <v>1482</v>
      </c>
      <c r="K1377" t="s">
        <v>1483</v>
      </c>
      <c r="L1377">
        <v>2</v>
      </c>
      <c r="M1377" t="s">
        <v>15</v>
      </c>
      <c r="N1377">
        <v>7</v>
      </c>
      <c r="O1377" t="s">
        <v>13</v>
      </c>
      <c r="P1377">
        <v>26</v>
      </c>
      <c r="Q1377" s="4">
        <v>45875</v>
      </c>
      <c r="R1377" s="4"/>
      <c r="S1377" t="str">
        <f>TEXT(Table1[[#This Row],[Hiring Date]],"mmmm")</f>
        <v>August</v>
      </c>
      <c r="T1377" s="1">
        <f>COUNTIF(S:S,Table1[[#This Row],[Months List]])</f>
        <v>0</v>
      </c>
      <c r="U1377" t="str">
        <f>TEXT(Table1[[#This Row],[Hiring Date]],"dddd")</f>
        <v>Wednesday</v>
      </c>
      <c r="V1377" s="1" t="str">
        <f>TEXT(Table1[[#This Row],[Hiring Date]],"yyyy")</f>
        <v>2025</v>
      </c>
    </row>
    <row r="1378" spans="1:22">
      <c r="A1378" t="s">
        <v>926</v>
      </c>
      <c r="B1378">
        <v>33</v>
      </c>
      <c r="C1378">
        <v>536</v>
      </c>
      <c r="D1378" t="s">
        <v>11</v>
      </c>
      <c r="E1378" t="s">
        <v>1498</v>
      </c>
      <c r="F1378" t="s">
        <v>1496</v>
      </c>
      <c r="G1378">
        <v>82</v>
      </c>
      <c r="H1378">
        <v>4</v>
      </c>
      <c r="I1378">
        <v>3</v>
      </c>
      <c r="J1378" t="s">
        <v>1474</v>
      </c>
      <c r="K1378" t="s">
        <v>1475</v>
      </c>
      <c r="L1378">
        <v>3</v>
      </c>
      <c r="M1378" t="s">
        <v>16</v>
      </c>
      <c r="N1378">
        <v>0</v>
      </c>
      <c r="O1378" t="s">
        <v>10</v>
      </c>
      <c r="P1378">
        <v>10</v>
      </c>
      <c r="Q1378" s="4">
        <v>45649</v>
      </c>
      <c r="R1378" s="4"/>
      <c r="S1378" t="str">
        <f>TEXT(Table1[[#This Row],[Hiring Date]],"mmmm")</f>
        <v>December</v>
      </c>
      <c r="T1378" s="1">
        <f>COUNTIF(S:S,Table1[[#This Row],[Months List]])</f>
        <v>0</v>
      </c>
      <c r="U1378" t="str">
        <f>TEXT(Table1[[#This Row],[Hiring Date]],"dddd")</f>
        <v>Monday</v>
      </c>
      <c r="V1378" s="1" t="str">
        <f>TEXT(Table1[[#This Row],[Hiring Date]],"yyyy")</f>
        <v>2024</v>
      </c>
    </row>
    <row r="1379" spans="1:22">
      <c r="A1379" t="s">
        <v>99</v>
      </c>
      <c r="B1379">
        <v>35</v>
      </c>
      <c r="C1379">
        <v>1214</v>
      </c>
      <c r="D1379" t="s">
        <v>14</v>
      </c>
      <c r="E1379" t="s">
        <v>1495</v>
      </c>
      <c r="F1379" t="s">
        <v>1496</v>
      </c>
      <c r="G1379">
        <v>30</v>
      </c>
      <c r="H1379">
        <v>2</v>
      </c>
      <c r="I1379">
        <v>1</v>
      </c>
      <c r="J1379" t="s">
        <v>1476</v>
      </c>
      <c r="K1379" t="s">
        <v>1477</v>
      </c>
      <c r="L1379">
        <v>3</v>
      </c>
      <c r="M1379" t="s">
        <v>12</v>
      </c>
      <c r="N1379">
        <v>1</v>
      </c>
      <c r="O1379" t="s">
        <v>13</v>
      </c>
      <c r="P1379">
        <v>6</v>
      </c>
      <c r="Q1379" s="4">
        <v>45993</v>
      </c>
      <c r="R1379" s="4"/>
      <c r="S1379" t="str">
        <f>TEXT(Table1[[#This Row],[Hiring Date]],"mmmm")</f>
        <v>December</v>
      </c>
      <c r="T1379" s="1">
        <f>COUNTIF(S:S,Table1[[#This Row],[Months List]])</f>
        <v>0</v>
      </c>
      <c r="U1379" t="str">
        <f>TEXT(Table1[[#This Row],[Hiring Date]],"dddd")</f>
        <v>Tuesday</v>
      </c>
      <c r="V1379" s="1" t="str">
        <f>TEXT(Table1[[#This Row],[Hiring Date]],"yyyy")</f>
        <v>2025</v>
      </c>
    </row>
    <row r="1380" spans="1:22">
      <c r="A1380" t="s">
        <v>927</v>
      </c>
      <c r="B1380">
        <v>19</v>
      </c>
      <c r="C1380">
        <v>265</v>
      </c>
      <c r="D1380" t="s">
        <v>14</v>
      </c>
      <c r="E1380" t="s">
        <v>1497</v>
      </c>
      <c r="F1380" t="s">
        <v>1499</v>
      </c>
      <c r="G1380">
        <v>57</v>
      </c>
      <c r="H1380">
        <v>4</v>
      </c>
      <c r="I1380">
        <v>1</v>
      </c>
      <c r="J1380" t="s">
        <v>1476</v>
      </c>
      <c r="K1380" t="s">
        <v>1477</v>
      </c>
      <c r="L1380">
        <v>4</v>
      </c>
      <c r="M1380" t="s">
        <v>12</v>
      </c>
      <c r="N1380">
        <v>1</v>
      </c>
      <c r="O1380" t="s">
        <v>10</v>
      </c>
      <c r="P1380">
        <v>1</v>
      </c>
      <c r="Q1380" s="4">
        <v>45929</v>
      </c>
      <c r="R1380" s="4"/>
      <c r="S1380" t="str">
        <f>TEXT(Table1[[#This Row],[Hiring Date]],"mmmm")</f>
        <v>September</v>
      </c>
      <c r="T1380" s="1">
        <f>COUNTIF(S:S,Table1[[#This Row],[Months List]])</f>
        <v>0</v>
      </c>
      <c r="U1380" t="str">
        <f>TEXT(Table1[[#This Row],[Hiring Date]],"dddd")</f>
        <v>Monday</v>
      </c>
      <c r="V1380" s="1" t="str">
        <f>TEXT(Table1[[#This Row],[Hiring Date]],"yyyy")</f>
        <v>2025</v>
      </c>
    </row>
    <row r="1381" spans="1:22">
      <c r="A1381" t="s">
        <v>928</v>
      </c>
      <c r="B1381">
        <v>23</v>
      </c>
      <c r="C1381">
        <v>373</v>
      </c>
      <c r="D1381" t="s">
        <v>14</v>
      </c>
      <c r="E1381" t="s">
        <v>1497</v>
      </c>
      <c r="F1381" t="s">
        <v>1496</v>
      </c>
      <c r="G1381">
        <v>47</v>
      </c>
      <c r="H1381">
        <v>3</v>
      </c>
      <c r="I1381">
        <v>1</v>
      </c>
      <c r="J1381" t="s">
        <v>1476</v>
      </c>
      <c r="K1381" t="s">
        <v>1477</v>
      </c>
      <c r="L1381">
        <v>3</v>
      </c>
      <c r="M1381" t="s">
        <v>15</v>
      </c>
      <c r="N1381">
        <v>1</v>
      </c>
      <c r="O1381" t="s">
        <v>13</v>
      </c>
      <c r="P1381">
        <v>1</v>
      </c>
      <c r="Q1381" s="4">
        <v>45997</v>
      </c>
      <c r="R1381" s="4"/>
      <c r="S1381" t="str">
        <f>TEXT(Table1[[#This Row],[Hiring Date]],"mmmm")</f>
        <v>December</v>
      </c>
      <c r="T1381" s="1">
        <f>COUNTIF(S:S,Table1[[#This Row],[Months List]])</f>
        <v>0</v>
      </c>
      <c r="U1381" t="str">
        <f>TEXT(Table1[[#This Row],[Hiring Date]],"dddd")</f>
        <v>Saturday</v>
      </c>
      <c r="V1381" s="1" t="str">
        <f>TEXT(Table1[[#This Row],[Hiring Date]],"yyyy")</f>
        <v>2025</v>
      </c>
    </row>
    <row r="1382" spans="1:22">
      <c r="A1382" t="s">
        <v>929</v>
      </c>
      <c r="B1382">
        <v>25</v>
      </c>
      <c r="C1382">
        <v>599</v>
      </c>
      <c r="D1382" t="s">
        <v>11</v>
      </c>
      <c r="E1382" t="s">
        <v>1497</v>
      </c>
      <c r="F1382" t="s">
        <v>1496</v>
      </c>
      <c r="G1382">
        <v>73</v>
      </c>
      <c r="H1382">
        <v>1</v>
      </c>
      <c r="I1382">
        <v>1</v>
      </c>
      <c r="J1382" t="s">
        <v>1489</v>
      </c>
      <c r="K1382" t="s">
        <v>1490</v>
      </c>
      <c r="L1382">
        <v>4</v>
      </c>
      <c r="M1382" t="s">
        <v>12</v>
      </c>
      <c r="N1382">
        <v>1</v>
      </c>
      <c r="O1382" t="s">
        <v>10</v>
      </c>
      <c r="P1382">
        <v>1</v>
      </c>
      <c r="Q1382" s="4">
        <v>45867</v>
      </c>
      <c r="R1382" s="4"/>
      <c r="S1382" t="str">
        <f>TEXT(Table1[[#This Row],[Hiring Date]],"mmmm")</f>
        <v>July</v>
      </c>
      <c r="T1382" s="1">
        <f>COUNTIF(S:S,Table1[[#This Row],[Months List]])</f>
        <v>0</v>
      </c>
      <c r="U1382" t="str">
        <f>TEXT(Table1[[#This Row],[Hiring Date]],"dddd")</f>
        <v>Tuesday</v>
      </c>
      <c r="V1382" s="1" t="str">
        <f>TEXT(Table1[[#This Row],[Hiring Date]],"yyyy")</f>
        <v>2025</v>
      </c>
    </row>
    <row r="1383" spans="1:22">
      <c r="A1383" t="s">
        <v>930</v>
      </c>
      <c r="B1383">
        <v>26</v>
      </c>
      <c r="C1383">
        <v>583</v>
      </c>
      <c r="D1383" t="s">
        <v>14</v>
      </c>
      <c r="E1383" t="s">
        <v>1497</v>
      </c>
      <c r="F1383" t="s">
        <v>1496</v>
      </c>
      <c r="G1383">
        <v>53</v>
      </c>
      <c r="H1383">
        <v>3</v>
      </c>
      <c r="I1383">
        <v>1</v>
      </c>
      <c r="J1383" t="s">
        <v>1476</v>
      </c>
      <c r="K1383" t="s">
        <v>1477</v>
      </c>
      <c r="L1383">
        <v>4</v>
      </c>
      <c r="M1383" t="s">
        <v>12</v>
      </c>
      <c r="N1383">
        <v>1</v>
      </c>
      <c r="O1383" t="s">
        <v>10</v>
      </c>
      <c r="P1383">
        <v>8</v>
      </c>
      <c r="Q1383" s="4">
        <v>45783</v>
      </c>
      <c r="R1383" s="4"/>
      <c r="S1383" t="str">
        <f>TEXT(Table1[[#This Row],[Hiring Date]],"mmmm")</f>
        <v>May</v>
      </c>
      <c r="T1383" s="1">
        <f>COUNTIF(S:S,Table1[[#This Row],[Months List]])</f>
        <v>0</v>
      </c>
      <c r="U1383" t="str">
        <f>TEXT(Table1[[#This Row],[Hiring Date]],"dddd")</f>
        <v>Tuesday</v>
      </c>
      <c r="V1383" s="1" t="str">
        <f>TEXT(Table1[[#This Row],[Hiring Date]],"yyyy")</f>
        <v>2025</v>
      </c>
    </row>
    <row r="1384" spans="1:22">
      <c r="A1384" t="s">
        <v>931</v>
      </c>
      <c r="B1384">
        <v>45</v>
      </c>
      <c r="C1384">
        <v>1449</v>
      </c>
      <c r="D1384" t="s">
        <v>11</v>
      </c>
      <c r="E1384" t="s">
        <v>1498</v>
      </c>
      <c r="F1384" t="s">
        <v>1499</v>
      </c>
      <c r="G1384">
        <v>94</v>
      </c>
      <c r="H1384">
        <v>1</v>
      </c>
      <c r="I1384">
        <v>5</v>
      </c>
      <c r="J1384" t="s">
        <v>1482</v>
      </c>
      <c r="K1384" t="s">
        <v>1483</v>
      </c>
      <c r="L1384">
        <v>2</v>
      </c>
      <c r="M1384" t="s">
        <v>12</v>
      </c>
      <c r="N1384">
        <v>2</v>
      </c>
      <c r="O1384" t="s">
        <v>10</v>
      </c>
      <c r="P1384">
        <v>26</v>
      </c>
      <c r="Q1384" s="4">
        <v>45877</v>
      </c>
      <c r="R1384" s="4"/>
      <c r="S1384" t="str">
        <f>TEXT(Table1[[#This Row],[Hiring Date]],"mmmm")</f>
        <v>August</v>
      </c>
      <c r="T1384" s="1">
        <f>COUNTIF(S:S,Table1[[#This Row],[Months List]])</f>
        <v>0</v>
      </c>
      <c r="U1384" t="str">
        <f>TEXT(Table1[[#This Row],[Hiring Date]],"dddd")</f>
        <v>Friday</v>
      </c>
      <c r="V1384" s="1" t="str">
        <f>TEXT(Table1[[#This Row],[Hiring Date]],"yyyy")</f>
        <v>2025</v>
      </c>
    </row>
    <row r="1385" spans="1:22">
      <c r="A1385" t="s">
        <v>932</v>
      </c>
      <c r="B1385">
        <v>55</v>
      </c>
      <c r="C1385">
        <v>177</v>
      </c>
      <c r="D1385" t="s">
        <v>14</v>
      </c>
      <c r="E1385" t="s">
        <v>1495</v>
      </c>
      <c r="F1385" t="s">
        <v>1496</v>
      </c>
      <c r="G1385">
        <v>37</v>
      </c>
      <c r="H1385">
        <v>2</v>
      </c>
      <c r="I1385">
        <v>4</v>
      </c>
      <c r="J1385" t="s">
        <v>1478</v>
      </c>
      <c r="K1385" t="s">
        <v>1479</v>
      </c>
      <c r="L1385">
        <v>2</v>
      </c>
      <c r="M1385" t="s">
        <v>16</v>
      </c>
      <c r="N1385">
        <v>1</v>
      </c>
      <c r="O1385" t="s">
        <v>10</v>
      </c>
      <c r="P1385">
        <v>34</v>
      </c>
      <c r="Q1385" s="4">
        <v>45819</v>
      </c>
      <c r="R1385" s="4"/>
      <c r="S1385" t="str">
        <f>TEXT(Table1[[#This Row],[Hiring Date]],"mmmm")</f>
        <v>June</v>
      </c>
      <c r="T1385" s="1">
        <f>COUNTIF(S:S,Table1[[#This Row],[Months List]])</f>
        <v>0</v>
      </c>
      <c r="U1385" t="str">
        <f>TEXT(Table1[[#This Row],[Hiring Date]],"dddd")</f>
        <v>Wednesday</v>
      </c>
      <c r="V1385" s="1" t="str">
        <f>TEXT(Table1[[#This Row],[Hiring Date]],"yyyy")</f>
        <v>2025</v>
      </c>
    </row>
    <row r="1386" spans="1:22">
      <c r="A1386" t="s">
        <v>933</v>
      </c>
      <c r="B1386">
        <v>21</v>
      </c>
      <c r="C1386">
        <v>251</v>
      </c>
      <c r="D1386" t="s">
        <v>14</v>
      </c>
      <c r="E1386" t="s">
        <v>1497</v>
      </c>
      <c r="F1386" t="s">
        <v>1499</v>
      </c>
      <c r="G1386">
        <v>45</v>
      </c>
      <c r="H1386">
        <v>2</v>
      </c>
      <c r="I1386">
        <v>1</v>
      </c>
      <c r="J1386" t="s">
        <v>1484</v>
      </c>
      <c r="K1386" t="s">
        <v>1485</v>
      </c>
      <c r="L1386">
        <v>3</v>
      </c>
      <c r="M1386" t="s">
        <v>12</v>
      </c>
      <c r="N1386">
        <v>1</v>
      </c>
      <c r="O1386" t="s">
        <v>13</v>
      </c>
      <c r="P1386">
        <v>2</v>
      </c>
      <c r="Q1386" s="4">
        <v>45907</v>
      </c>
      <c r="R1386" s="4"/>
      <c r="S1386" t="str">
        <f>TEXT(Table1[[#This Row],[Hiring Date]],"mmmm")</f>
        <v>September</v>
      </c>
      <c r="T1386" s="1">
        <f>COUNTIF(S:S,Table1[[#This Row],[Months List]])</f>
        <v>0</v>
      </c>
      <c r="U1386" t="str">
        <f>TEXT(Table1[[#This Row],[Hiring Date]],"dddd")</f>
        <v>Sunday</v>
      </c>
      <c r="V1386" s="1" t="str">
        <f>TEXT(Table1[[#This Row],[Hiring Date]],"yyyy")</f>
        <v>2025</v>
      </c>
    </row>
    <row r="1387" spans="1:22">
      <c r="A1387" t="s">
        <v>934</v>
      </c>
      <c r="B1387">
        <v>46</v>
      </c>
      <c r="C1387">
        <v>168</v>
      </c>
      <c r="D1387" t="s">
        <v>11</v>
      </c>
      <c r="E1387" t="s">
        <v>1498</v>
      </c>
      <c r="F1387" t="s">
        <v>1499</v>
      </c>
      <c r="G1387">
        <v>33</v>
      </c>
      <c r="H1387">
        <v>2</v>
      </c>
      <c r="I1387">
        <v>5</v>
      </c>
      <c r="J1387" t="s">
        <v>1482</v>
      </c>
      <c r="K1387" t="s">
        <v>1483</v>
      </c>
      <c r="L1387">
        <v>2</v>
      </c>
      <c r="M1387" t="s">
        <v>15</v>
      </c>
      <c r="N1387">
        <v>2</v>
      </c>
      <c r="O1387" t="s">
        <v>13</v>
      </c>
      <c r="P1387">
        <v>26</v>
      </c>
      <c r="Q1387" s="4">
        <v>45934</v>
      </c>
      <c r="R1387" s="4"/>
      <c r="S1387" t="str">
        <f>TEXT(Table1[[#This Row],[Hiring Date]],"mmmm")</f>
        <v>October</v>
      </c>
      <c r="T1387" s="1">
        <f>COUNTIF(S:S,Table1[[#This Row],[Months List]])</f>
        <v>0</v>
      </c>
      <c r="U1387" t="str">
        <f>TEXT(Table1[[#This Row],[Hiring Date]],"dddd")</f>
        <v>Saturday</v>
      </c>
      <c r="V1387" s="1" t="str">
        <f>TEXT(Table1[[#This Row],[Hiring Date]],"yyyy")</f>
        <v>2025</v>
      </c>
    </row>
    <row r="1388" spans="1:22">
      <c r="A1388" t="s">
        <v>935</v>
      </c>
      <c r="B1388">
        <v>34</v>
      </c>
      <c r="C1388">
        <v>131</v>
      </c>
      <c r="D1388" t="s">
        <v>11</v>
      </c>
      <c r="E1388" t="s">
        <v>1498</v>
      </c>
      <c r="F1388" t="s">
        <v>1499</v>
      </c>
      <c r="G1388">
        <v>86</v>
      </c>
      <c r="H1388">
        <v>3</v>
      </c>
      <c r="I1388">
        <v>2</v>
      </c>
      <c r="J1388" t="s">
        <v>1474</v>
      </c>
      <c r="K1388" t="s">
        <v>1475</v>
      </c>
      <c r="L1388">
        <v>1</v>
      </c>
      <c r="M1388" t="s">
        <v>12</v>
      </c>
      <c r="N1388">
        <v>0</v>
      </c>
      <c r="O1388" t="s">
        <v>10</v>
      </c>
      <c r="P1388">
        <v>4</v>
      </c>
      <c r="Q1388" s="4">
        <v>45934</v>
      </c>
      <c r="R1388" s="4"/>
      <c r="S1388" t="str">
        <f>TEXT(Table1[[#This Row],[Hiring Date]],"mmmm")</f>
        <v>October</v>
      </c>
      <c r="T1388" s="1">
        <f>COUNTIF(S:S,Table1[[#This Row],[Months List]])</f>
        <v>0</v>
      </c>
      <c r="U1388" t="str">
        <f>TEXT(Table1[[#This Row],[Hiring Date]],"dddd")</f>
        <v>Saturday</v>
      </c>
      <c r="V1388" s="1" t="str">
        <f>TEXT(Table1[[#This Row],[Hiring Date]],"yyyy")</f>
        <v>2025</v>
      </c>
    </row>
    <row r="1389" spans="1:22">
      <c r="A1389" t="s">
        <v>936</v>
      </c>
      <c r="B1389">
        <v>51</v>
      </c>
      <c r="C1389">
        <v>237</v>
      </c>
      <c r="D1389" t="s">
        <v>11</v>
      </c>
      <c r="E1389" t="s">
        <v>1497</v>
      </c>
      <c r="F1389" t="s">
        <v>1496</v>
      </c>
      <c r="G1389">
        <v>83</v>
      </c>
      <c r="H1389">
        <v>3</v>
      </c>
      <c r="I1389">
        <v>5</v>
      </c>
      <c r="J1389" t="s">
        <v>1482</v>
      </c>
      <c r="K1389" t="s">
        <v>1483</v>
      </c>
      <c r="L1389">
        <v>2</v>
      </c>
      <c r="M1389" t="s">
        <v>16</v>
      </c>
      <c r="N1389">
        <v>4</v>
      </c>
      <c r="O1389" t="s">
        <v>10</v>
      </c>
      <c r="P1389">
        <v>31</v>
      </c>
      <c r="Q1389" s="4">
        <v>45662</v>
      </c>
      <c r="R1389" s="4"/>
      <c r="S1389" t="str">
        <f>TEXT(Table1[[#This Row],[Hiring Date]],"mmmm")</f>
        <v>January</v>
      </c>
      <c r="T1389" s="1">
        <f>COUNTIF(S:S,Table1[[#This Row],[Months List]])</f>
        <v>0</v>
      </c>
      <c r="U1389" t="str">
        <f>TEXT(Table1[[#This Row],[Hiring Date]],"dddd")</f>
        <v>Sunday</v>
      </c>
      <c r="V1389" s="1" t="str">
        <f>TEXT(Table1[[#This Row],[Hiring Date]],"yyyy")</f>
        <v>2025</v>
      </c>
    </row>
    <row r="1390" spans="1:22">
      <c r="A1390" t="s">
        <v>100</v>
      </c>
      <c r="B1390">
        <v>55</v>
      </c>
      <c r="C1390">
        <v>111</v>
      </c>
      <c r="D1390" t="s">
        <v>11</v>
      </c>
      <c r="E1390" t="s">
        <v>1497</v>
      </c>
      <c r="F1390" t="s">
        <v>1496</v>
      </c>
      <c r="G1390">
        <v>70</v>
      </c>
      <c r="H1390">
        <v>3</v>
      </c>
      <c r="I1390">
        <v>3</v>
      </c>
      <c r="J1390" t="s">
        <v>1474</v>
      </c>
      <c r="K1390" t="s">
        <v>1475</v>
      </c>
      <c r="L1390">
        <v>4</v>
      </c>
      <c r="M1390" t="s">
        <v>15</v>
      </c>
      <c r="N1390">
        <v>3</v>
      </c>
      <c r="O1390" t="s">
        <v>13</v>
      </c>
      <c r="P1390">
        <v>24</v>
      </c>
      <c r="Q1390" s="4">
        <v>45808</v>
      </c>
      <c r="R1390" s="4"/>
      <c r="S1390" t="str">
        <f>TEXT(Table1[[#This Row],[Hiring Date]],"mmmm")</f>
        <v>May</v>
      </c>
      <c r="T1390" s="1">
        <f>COUNTIF(S:S,Table1[[#This Row],[Months List]])</f>
        <v>0</v>
      </c>
      <c r="U1390" t="str">
        <f>TEXT(Table1[[#This Row],[Hiring Date]],"dddd")</f>
        <v>Saturday</v>
      </c>
      <c r="V1390" s="1" t="str">
        <f>TEXT(Table1[[#This Row],[Hiring Date]],"yyyy")</f>
        <v>2025</v>
      </c>
    </row>
    <row r="1391" spans="1:22">
      <c r="A1391" t="s">
        <v>937</v>
      </c>
      <c r="B1391">
        <v>59</v>
      </c>
      <c r="C1391">
        <v>1429</v>
      </c>
      <c r="D1391" t="s">
        <v>14</v>
      </c>
      <c r="E1391" t="s">
        <v>1495</v>
      </c>
      <c r="F1391" t="s">
        <v>1496</v>
      </c>
      <c r="G1391">
        <v>67</v>
      </c>
      <c r="H1391">
        <v>3</v>
      </c>
      <c r="I1391">
        <v>3</v>
      </c>
      <c r="J1391" t="s">
        <v>1480</v>
      </c>
      <c r="K1391" t="s">
        <v>1481</v>
      </c>
      <c r="L1391">
        <v>4</v>
      </c>
      <c r="M1391" t="s">
        <v>12</v>
      </c>
      <c r="N1391">
        <v>6</v>
      </c>
      <c r="O1391" t="s">
        <v>13</v>
      </c>
      <c r="P1391">
        <v>25</v>
      </c>
      <c r="Q1391" s="4">
        <v>45723</v>
      </c>
      <c r="R1391" s="4"/>
      <c r="S1391" t="str">
        <f>TEXT(Table1[[#This Row],[Hiring Date]],"mmmm")</f>
        <v>March</v>
      </c>
      <c r="T1391" s="1">
        <f>COUNTIF(S:S,Table1[[#This Row],[Months List]])</f>
        <v>0</v>
      </c>
      <c r="U1391" t="str">
        <f>TEXT(Table1[[#This Row],[Hiring Date]],"dddd")</f>
        <v>Friday</v>
      </c>
      <c r="V1391" s="1" t="str">
        <f>TEXT(Table1[[#This Row],[Hiring Date]],"yyyy")</f>
        <v>2025</v>
      </c>
    </row>
    <row r="1392" spans="1:22">
      <c r="A1392" t="s">
        <v>938</v>
      </c>
      <c r="B1392">
        <v>34</v>
      </c>
      <c r="C1392">
        <v>135</v>
      </c>
      <c r="D1392" t="s">
        <v>14</v>
      </c>
      <c r="E1392" t="s">
        <v>1495</v>
      </c>
      <c r="F1392" t="s">
        <v>1499</v>
      </c>
      <c r="G1392">
        <v>46</v>
      </c>
      <c r="H1392">
        <v>3</v>
      </c>
      <c r="I1392">
        <v>2</v>
      </c>
      <c r="J1392" t="s">
        <v>1484</v>
      </c>
      <c r="K1392" t="s">
        <v>1485</v>
      </c>
      <c r="L1392">
        <v>2</v>
      </c>
      <c r="M1392" t="s">
        <v>16</v>
      </c>
      <c r="N1392">
        <v>4</v>
      </c>
      <c r="O1392" t="s">
        <v>13</v>
      </c>
      <c r="P1392">
        <v>15</v>
      </c>
      <c r="Q1392" s="4">
        <v>45930</v>
      </c>
      <c r="R1392" s="4"/>
      <c r="S1392" t="str">
        <f>TEXT(Table1[[#This Row],[Hiring Date]],"mmmm")</f>
        <v>September</v>
      </c>
      <c r="T1392" s="1">
        <f>COUNTIF(S:S,Table1[[#This Row],[Months List]])</f>
        <v>0</v>
      </c>
      <c r="U1392" t="str">
        <f>TEXT(Table1[[#This Row],[Hiring Date]],"dddd")</f>
        <v>Tuesday</v>
      </c>
      <c r="V1392" s="1" t="str">
        <f>TEXT(Table1[[#This Row],[Hiring Date]],"yyyy")</f>
        <v>2025</v>
      </c>
    </row>
    <row r="1393" spans="1:22">
      <c r="A1393" t="s">
        <v>939</v>
      </c>
      <c r="B1393">
        <v>28</v>
      </c>
      <c r="C1393">
        <v>791</v>
      </c>
      <c r="D1393" t="s">
        <v>14</v>
      </c>
      <c r="E1393" t="s">
        <v>1495</v>
      </c>
      <c r="F1393" t="s">
        <v>1496</v>
      </c>
      <c r="G1393">
        <v>44</v>
      </c>
      <c r="H1393">
        <v>3</v>
      </c>
      <c r="I1393">
        <v>1</v>
      </c>
      <c r="J1393" t="s">
        <v>1484</v>
      </c>
      <c r="K1393" t="s">
        <v>1485</v>
      </c>
      <c r="L1393">
        <v>3</v>
      </c>
      <c r="M1393" t="s">
        <v>12</v>
      </c>
      <c r="N1393">
        <v>0</v>
      </c>
      <c r="O1393" t="s">
        <v>10</v>
      </c>
      <c r="P1393">
        <v>5</v>
      </c>
      <c r="Q1393" s="4">
        <v>45863</v>
      </c>
      <c r="R1393" s="4"/>
      <c r="S1393" t="str">
        <f>TEXT(Table1[[#This Row],[Hiring Date]],"mmmm")</f>
        <v>July</v>
      </c>
      <c r="T1393" s="1">
        <f>COUNTIF(S:S,Table1[[#This Row],[Months List]])</f>
        <v>0</v>
      </c>
      <c r="U1393" t="str">
        <f>TEXT(Table1[[#This Row],[Hiring Date]],"dddd")</f>
        <v>Friday</v>
      </c>
      <c r="V1393" s="1" t="str">
        <f>TEXT(Table1[[#This Row],[Hiring Date]],"yyyy")</f>
        <v>2025</v>
      </c>
    </row>
    <row r="1394" spans="1:22">
      <c r="A1394" t="s">
        <v>940</v>
      </c>
      <c r="B1394">
        <v>44</v>
      </c>
      <c r="C1394">
        <v>1199</v>
      </c>
      <c r="D1394" t="s">
        <v>14</v>
      </c>
      <c r="E1394" t="s">
        <v>1497</v>
      </c>
      <c r="F1394" t="s">
        <v>1496</v>
      </c>
      <c r="G1394">
        <v>92</v>
      </c>
      <c r="H1394">
        <v>4</v>
      </c>
      <c r="I1394">
        <v>5</v>
      </c>
      <c r="J1394" t="s">
        <v>1482</v>
      </c>
      <c r="K1394" t="s">
        <v>1483</v>
      </c>
      <c r="L1394">
        <v>1</v>
      </c>
      <c r="M1394" t="s">
        <v>16</v>
      </c>
      <c r="N1394">
        <v>1</v>
      </c>
      <c r="O1394" t="s">
        <v>13</v>
      </c>
      <c r="P1394">
        <v>26</v>
      </c>
      <c r="Q1394" s="4">
        <v>45718</v>
      </c>
      <c r="R1394" s="4"/>
      <c r="S1394" t="str">
        <f>TEXT(Table1[[#This Row],[Hiring Date]],"mmmm")</f>
        <v>March</v>
      </c>
      <c r="T1394" s="1">
        <f>COUNTIF(S:S,Table1[[#This Row],[Months List]])</f>
        <v>0</v>
      </c>
      <c r="U1394" t="str">
        <f>TEXT(Table1[[#This Row],[Hiring Date]],"dddd")</f>
        <v>Sunday</v>
      </c>
      <c r="V1394" s="1" t="str">
        <f>TEXT(Table1[[#This Row],[Hiring Date]],"yyyy")</f>
        <v>2025</v>
      </c>
    </row>
    <row r="1395" spans="1:22">
      <c r="A1395" t="s">
        <v>941</v>
      </c>
      <c r="B1395">
        <v>34</v>
      </c>
      <c r="C1395">
        <v>648</v>
      </c>
      <c r="D1395" t="s">
        <v>17</v>
      </c>
      <c r="E1395" t="s">
        <v>1497</v>
      </c>
      <c r="F1395" t="s">
        <v>1496</v>
      </c>
      <c r="G1395">
        <v>56</v>
      </c>
      <c r="H1395">
        <v>2</v>
      </c>
      <c r="I1395">
        <v>2</v>
      </c>
      <c r="J1395" t="s">
        <v>1486</v>
      </c>
      <c r="K1395" t="s">
        <v>17</v>
      </c>
      <c r="L1395">
        <v>2</v>
      </c>
      <c r="M1395" t="s">
        <v>15</v>
      </c>
      <c r="N1395">
        <v>4</v>
      </c>
      <c r="O1395" t="s">
        <v>13</v>
      </c>
      <c r="P1395">
        <v>14</v>
      </c>
      <c r="Q1395" s="4">
        <v>45835</v>
      </c>
      <c r="R1395" s="4"/>
      <c r="S1395" t="str">
        <f>TEXT(Table1[[#This Row],[Hiring Date]],"mmmm")</f>
        <v>June</v>
      </c>
      <c r="T1395" s="1">
        <f>COUNTIF(S:S,Table1[[#This Row],[Months List]])</f>
        <v>0</v>
      </c>
      <c r="U1395" t="str">
        <f>TEXT(Table1[[#This Row],[Hiring Date]],"dddd")</f>
        <v>Friday</v>
      </c>
      <c r="V1395" s="1" t="str">
        <f>TEXT(Table1[[#This Row],[Hiring Date]],"yyyy")</f>
        <v>2025</v>
      </c>
    </row>
    <row r="1396" spans="1:22">
      <c r="A1396" t="s">
        <v>942</v>
      </c>
      <c r="B1396">
        <v>35</v>
      </c>
      <c r="C1396">
        <v>735</v>
      </c>
      <c r="D1396" t="s">
        <v>14</v>
      </c>
      <c r="E1396" t="s">
        <v>1497</v>
      </c>
      <c r="F1396" t="s">
        <v>1496</v>
      </c>
      <c r="G1396">
        <v>66</v>
      </c>
      <c r="H1396">
        <v>3</v>
      </c>
      <c r="I1396">
        <v>1</v>
      </c>
      <c r="J1396" t="s">
        <v>1476</v>
      </c>
      <c r="K1396" t="s">
        <v>1477</v>
      </c>
      <c r="L1396">
        <v>3</v>
      </c>
      <c r="M1396" t="s">
        <v>15</v>
      </c>
      <c r="N1396">
        <v>0</v>
      </c>
      <c r="O1396" t="s">
        <v>10</v>
      </c>
      <c r="P1396">
        <v>4</v>
      </c>
      <c r="Q1396" s="4">
        <v>45826</v>
      </c>
      <c r="R1396" s="4"/>
      <c r="S1396" t="str">
        <f>TEXT(Table1[[#This Row],[Hiring Date]],"mmmm")</f>
        <v>June</v>
      </c>
      <c r="T1396" s="1">
        <f>COUNTIF(S:S,Table1[[#This Row],[Months List]])</f>
        <v>0</v>
      </c>
      <c r="U1396" t="str">
        <f>TEXT(Table1[[#This Row],[Hiring Date]],"dddd")</f>
        <v>Wednesday</v>
      </c>
      <c r="V1396" s="1" t="str">
        <f>TEXT(Table1[[#This Row],[Hiring Date]],"yyyy")</f>
        <v>2025</v>
      </c>
    </row>
    <row r="1397" spans="1:22">
      <c r="A1397" t="s">
        <v>943</v>
      </c>
      <c r="B1397">
        <v>42</v>
      </c>
      <c r="C1397">
        <v>603</v>
      </c>
      <c r="D1397" t="s">
        <v>14</v>
      </c>
      <c r="E1397" t="s">
        <v>1495</v>
      </c>
      <c r="F1397" t="s">
        <v>1499</v>
      </c>
      <c r="G1397">
        <v>78</v>
      </c>
      <c r="H1397">
        <v>4</v>
      </c>
      <c r="I1397">
        <v>2</v>
      </c>
      <c r="J1397" t="s">
        <v>1476</v>
      </c>
      <c r="K1397" t="s">
        <v>1477</v>
      </c>
      <c r="L1397">
        <v>2</v>
      </c>
      <c r="M1397" t="s">
        <v>15</v>
      </c>
      <c r="N1397">
        <v>6</v>
      </c>
      <c r="O1397" t="s">
        <v>10</v>
      </c>
      <c r="P1397">
        <v>18</v>
      </c>
      <c r="Q1397" s="4">
        <v>45807</v>
      </c>
      <c r="R1397" s="4"/>
      <c r="S1397" t="str">
        <f>TEXT(Table1[[#This Row],[Hiring Date]],"mmmm")</f>
        <v>May</v>
      </c>
      <c r="T1397" s="1">
        <f>COUNTIF(S:S,Table1[[#This Row],[Months List]])</f>
        <v>0</v>
      </c>
      <c r="U1397" t="str">
        <f>TEXT(Table1[[#This Row],[Hiring Date]],"dddd")</f>
        <v>Friday</v>
      </c>
      <c r="V1397" s="1" t="str">
        <f>TEXT(Table1[[#This Row],[Hiring Date]],"yyyy")</f>
        <v>2025</v>
      </c>
    </row>
    <row r="1398" spans="1:22">
      <c r="A1398" t="s">
        <v>944</v>
      </c>
      <c r="B1398">
        <v>43</v>
      </c>
      <c r="C1398">
        <v>531</v>
      </c>
      <c r="D1398" t="s">
        <v>11</v>
      </c>
      <c r="E1398" t="s">
        <v>1498</v>
      </c>
      <c r="F1398" t="s">
        <v>1499</v>
      </c>
      <c r="G1398">
        <v>56</v>
      </c>
      <c r="H1398">
        <v>2</v>
      </c>
      <c r="I1398">
        <v>3</v>
      </c>
      <c r="J1398" t="s">
        <v>1474</v>
      </c>
      <c r="K1398" t="s">
        <v>1475</v>
      </c>
      <c r="L1398">
        <v>4</v>
      </c>
      <c r="M1398" t="s">
        <v>12</v>
      </c>
      <c r="N1398">
        <v>3</v>
      </c>
      <c r="O1398" t="s">
        <v>13</v>
      </c>
      <c r="P1398">
        <v>23</v>
      </c>
      <c r="Q1398" s="4">
        <v>45960</v>
      </c>
      <c r="R1398" s="4"/>
      <c r="S1398" t="str">
        <f>TEXT(Table1[[#This Row],[Hiring Date]],"mmmm")</f>
        <v>October</v>
      </c>
      <c r="T1398" s="1">
        <f>COUNTIF(S:S,Table1[[#This Row],[Months List]])</f>
        <v>0</v>
      </c>
      <c r="U1398" t="str">
        <f>TEXT(Table1[[#This Row],[Hiring Date]],"dddd")</f>
        <v>Thursday</v>
      </c>
      <c r="V1398" s="1" t="str">
        <f>TEXT(Table1[[#This Row],[Hiring Date]],"yyyy")</f>
        <v>2025</v>
      </c>
    </row>
    <row r="1399" spans="1:22">
      <c r="A1399" t="s">
        <v>945</v>
      </c>
      <c r="B1399">
        <v>36</v>
      </c>
      <c r="C1399">
        <v>429</v>
      </c>
      <c r="D1399" t="s">
        <v>14</v>
      </c>
      <c r="E1399" t="s">
        <v>1497</v>
      </c>
      <c r="F1399" t="s">
        <v>1499</v>
      </c>
      <c r="G1399">
        <v>53</v>
      </c>
      <c r="H1399">
        <v>3</v>
      </c>
      <c r="I1399">
        <v>2</v>
      </c>
      <c r="J1399" t="s">
        <v>1480</v>
      </c>
      <c r="K1399" t="s">
        <v>1481</v>
      </c>
      <c r="L1399">
        <v>2</v>
      </c>
      <c r="M1399" t="s">
        <v>12</v>
      </c>
      <c r="N1399">
        <v>9</v>
      </c>
      <c r="O1399" t="s">
        <v>10</v>
      </c>
      <c r="P1399">
        <v>18</v>
      </c>
      <c r="Q1399" s="4">
        <v>45678</v>
      </c>
      <c r="R1399" s="4"/>
      <c r="S1399" t="str">
        <f>TEXT(Table1[[#This Row],[Hiring Date]],"mmmm")</f>
        <v>January</v>
      </c>
      <c r="T1399" s="1">
        <f>COUNTIF(S:S,Table1[[#This Row],[Months List]])</f>
        <v>0</v>
      </c>
      <c r="U1399" t="str">
        <f>TEXT(Table1[[#This Row],[Hiring Date]],"dddd")</f>
        <v>Tuesday</v>
      </c>
      <c r="V1399" s="1" t="str">
        <f>TEXT(Table1[[#This Row],[Hiring Date]],"yyyy")</f>
        <v>2025</v>
      </c>
    </row>
    <row r="1400" spans="1:22">
      <c r="A1400" t="s">
        <v>946</v>
      </c>
      <c r="B1400">
        <v>44</v>
      </c>
      <c r="C1400">
        <v>621</v>
      </c>
      <c r="D1400" t="s">
        <v>14</v>
      </c>
      <c r="E1400" t="s">
        <v>1495</v>
      </c>
      <c r="F1400" t="s">
        <v>1499</v>
      </c>
      <c r="G1400">
        <v>73</v>
      </c>
      <c r="H1400">
        <v>3</v>
      </c>
      <c r="I1400">
        <v>3</v>
      </c>
      <c r="J1400" t="s">
        <v>1478</v>
      </c>
      <c r="K1400" t="s">
        <v>1479</v>
      </c>
      <c r="L1400">
        <v>4</v>
      </c>
      <c r="M1400" t="s">
        <v>15</v>
      </c>
      <c r="N1400">
        <v>1</v>
      </c>
      <c r="O1400" t="s">
        <v>13</v>
      </c>
      <c r="P1400">
        <v>10</v>
      </c>
      <c r="Q1400" s="4">
        <v>45845</v>
      </c>
      <c r="R1400" s="4"/>
      <c r="S1400" t="str">
        <f>TEXT(Table1[[#This Row],[Hiring Date]],"mmmm")</f>
        <v>July</v>
      </c>
      <c r="T1400" s="1">
        <f>COUNTIF(S:S,Table1[[#This Row],[Months List]])</f>
        <v>0</v>
      </c>
      <c r="U1400" t="str">
        <f>TEXT(Table1[[#This Row],[Hiring Date]],"dddd")</f>
        <v>Monday</v>
      </c>
      <c r="V1400" s="1" t="str">
        <f>TEXT(Table1[[#This Row],[Hiring Date]],"yyyy")</f>
        <v>2025</v>
      </c>
    </row>
    <row r="1401" spans="1:22">
      <c r="A1401" t="s">
        <v>101</v>
      </c>
      <c r="B1401">
        <v>38</v>
      </c>
      <c r="C1401">
        <v>573</v>
      </c>
      <c r="D1401" t="s">
        <v>14</v>
      </c>
      <c r="E1401" t="s">
        <v>1495</v>
      </c>
      <c r="F1401" t="s">
        <v>1499</v>
      </c>
      <c r="G1401">
        <v>79</v>
      </c>
      <c r="H1401">
        <v>1</v>
      </c>
      <c r="I1401">
        <v>2</v>
      </c>
      <c r="J1401" t="s">
        <v>1476</v>
      </c>
      <c r="K1401" t="s">
        <v>1477</v>
      </c>
      <c r="L1401">
        <v>4</v>
      </c>
      <c r="M1401" t="s">
        <v>16</v>
      </c>
      <c r="N1401">
        <v>7</v>
      </c>
      <c r="O1401" t="s">
        <v>10</v>
      </c>
      <c r="P1401">
        <v>17</v>
      </c>
      <c r="Q1401" s="4">
        <v>45704</v>
      </c>
      <c r="R1401" s="4"/>
      <c r="S1401" t="str">
        <f>TEXT(Table1[[#This Row],[Hiring Date]],"mmmm")</f>
        <v>February</v>
      </c>
      <c r="T1401" s="1">
        <f>COUNTIF(S:S,Table1[[#This Row],[Months List]])</f>
        <v>0</v>
      </c>
      <c r="U1401" t="str">
        <f>TEXT(Table1[[#This Row],[Hiring Date]],"dddd")</f>
        <v>Sunday</v>
      </c>
      <c r="V1401" s="1" t="str">
        <f>TEXT(Table1[[#This Row],[Hiring Date]],"yyyy")</f>
        <v>2025</v>
      </c>
    </row>
    <row r="1402" spans="1:22">
      <c r="A1402" t="s">
        <v>947</v>
      </c>
      <c r="B1402">
        <v>28</v>
      </c>
      <c r="C1402">
        <v>193</v>
      </c>
      <c r="D1402" t="s">
        <v>14</v>
      </c>
      <c r="E1402" t="s">
        <v>1497</v>
      </c>
      <c r="F1402" t="s">
        <v>1496</v>
      </c>
      <c r="G1402">
        <v>52</v>
      </c>
      <c r="H1402">
        <v>2</v>
      </c>
      <c r="I1402">
        <v>1</v>
      </c>
      <c r="J1402" t="s">
        <v>1484</v>
      </c>
      <c r="K1402" t="s">
        <v>1485</v>
      </c>
      <c r="L1402">
        <v>4</v>
      </c>
      <c r="M1402" t="s">
        <v>15</v>
      </c>
      <c r="N1402">
        <v>1</v>
      </c>
      <c r="O1402" t="s">
        <v>10</v>
      </c>
      <c r="P1402">
        <v>2</v>
      </c>
      <c r="Q1402" s="4">
        <v>45953</v>
      </c>
      <c r="R1402" s="4"/>
      <c r="S1402" t="str">
        <f>TEXT(Table1[[#This Row],[Hiring Date]],"mmmm")</f>
        <v>October</v>
      </c>
      <c r="T1402" s="1">
        <f>COUNTIF(S:S,Table1[[#This Row],[Months List]])</f>
        <v>0</v>
      </c>
      <c r="U1402" t="str">
        <f>TEXT(Table1[[#This Row],[Hiring Date]],"dddd")</f>
        <v>Thursday</v>
      </c>
      <c r="V1402" s="1" t="str">
        <f>TEXT(Table1[[#This Row],[Hiring Date]],"yyyy")</f>
        <v>2025</v>
      </c>
    </row>
    <row r="1403" spans="1:22">
      <c r="A1403" t="s">
        <v>948</v>
      </c>
      <c r="B1403">
        <v>51</v>
      </c>
      <c r="C1403">
        <v>968</v>
      </c>
      <c r="D1403" t="s">
        <v>14</v>
      </c>
      <c r="E1403" t="s">
        <v>1495</v>
      </c>
      <c r="F1403" t="s">
        <v>1499</v>
      </c>
      <c r="G1403">
        <v>40</v>
      </c>
      <c r="H1403">
        <v>2</v>
      </c>
      <c r="I1403">
        <v>1</v>
      </c>
      <c r="J1403" t="s">
        <v>1484</v>
      </c>
      <c r="K1403" t="s">
        <v>1485</v>
      </c>
      <c r="L1403">
        <v>3</v>
      </c>
      <c r="M1403" t="s">
        <v>12</v>
      </c>
      <c r="N1403">
        <v>0</v>
      </c>
      <c r="O1403" t="s">
        <v>13</v>
      </c>
      <c r="P1403">
        <v>8</v>
      </c>
      <c r="Q1403" s="4">
        <v>45777</v>
      </c>
      <c r="R1403" s="4"/>
      <c r="S1403" t="str">
        <f>TEXT(Table1[[#This Row],[Hiring Date]],"mmmm")</f>
        <v>April</v>
      </c>
      <c r="T1403" s="1">
        <f>COUNTIF(S:S,Table1[[#This Row],[Months List]])</f>
        <v>0</v>
      </c>
      <c r="U1403" t="str">
        <f>TEXT(Table1[[#This Row],[Hiring Date]],"dddd")</f>
        <v>Wednesday</v>
      </c>
      <c r="V1403" s="1" t="str">
        <f>TEXT(Table1[[#This Row],[Hiring Date]],"yyyy")</f>
        <v>2025</v>
      </c>
    </row>
    <row r="1404" spans="1:22">
      <c r="A1404" t="s">
        <v>949</v>
      </c>
      <c r="B1404">
        <v>30</v>
      </c>
      <c r="C1404">
        <v>879</v>
      </c>
      <c r="D1404" t="s">
        <v>14</v>
      </c>
      <c r="E1404" t="s">
        <v>1495</v>
      </c>
      <c r="F1404" t="s">
        <v>1499</v>
      </c>
      <c r="G1404">
        <v>72</v>
      </c>
      <c r="H1404">
        <v>3</v>
      </c>
      <c r="I1404">
        <v>2</v>
      </c>
      <c r="J1404" t="s">
        <v>1480</v>
      </c>
      <c r="K1404" t="s">
        <v>1481</v>
      </c>
      <c r="L1404">
        <v>3</v>
      </c>
      <c r="M1404" t="s">
        <v>12</v>
      </c>
      <c r="N1404">
        <v>7</v>
      </c>
      <c r="O1404" t="s">
        <v>10</v>
      </c>
      <c r="P1404">
        <v>10</v>
      </c>
      <c r="Q1404" s="4">
        <v>45801</v>
      </c>
      <c r="R1404" s="4"/>
      <c r="S1404" t="str">
        <f>TEXT(Table1[[#This Row],[Hiring Date]],"mmmm")</f>
        <v>May</v>
      </c>
      <c r="T1404" s="1">
        <f>COUNTIF(S:S,Table1[[#This Row],[Months List]])</f>
        <v>0</v>
      </c>
      <c r="U1404" t="str">
        <f>TEXT(Table1[[#This Row],[Hiring Date]],"dddd")</f>
        <v>Saturday</v>
      </c>
      <c r="V1404" s="1" t="str">
        <f>TEXT(Table1[[#This Row],[Hiring Date]],"yyyy")</f>
        <v>2025</v>
      </c>
    </row>
    <row r="1405" spans="1:22">
      <c r="A1405" t="s">
        <v>950</v>
      </c>
      <c r="B1405">
        <v>29</v>
      </c>
      <c r="C1405">
        <v>806</v>
      </c>
      <c r="D1405" t="s">
        <v>14</v>
      </c>
      <c r="E1405" t="s">
        <v>1501</v>
      </c>
      <c r="F1405" t="s">
        <v>1499</v>
      </c>
      <c r="G1405">
        <v>39</v>
      </c>
      <c r="H1405">
        <v>3</v>
      </c>
      <c r="I1405">
        <v>1</v>
      </c>
      <c r="J1405" t="s">
        <v>1484</v>
      </c>
      <c r="K1405" t="s">
        <v>1485</v>
      </c>
      <c r="L1405">
        <v>3</v>
      </c>
      <c r="M1405" t="s">
        <v>16</v>
      </c>
      <c r="N1405">
        <v>3</v>
      </c>
      <c r="O1405" t="s">
        <v>10</v>
      </c>
      <c r="P1405">
        <v>10</v>
      </c>
      <c r="Q1405" s="4">
        <v>45953</v>
      </c>
      <c r="R1405" s="4"/>
      <c r="S1405" t="str">
        <f>TEXT(Table1[[#This Row],[Hiring Date]],"mmmm")</f>
        <v>October</v>
      </c>
      <c r="T1405" s="1">
        <f>COUNTIF(S:S,Table1[[#This Row],[Months List]])</f>
        <v>0</v>
      </c>
      <c r="U1405" t="str">
        <f>TEXT(Table1[[#This Row],[Hiring Date]],"dddd")</f>
        <v>Thursday</v>
      </c>
      <c r="V1405" s="1" t="str">
        <f>TEXT(Table1[[#This Row],[Hiring Date]],"yyyy")</f>
        <v>2025</v>
      </c>
    </row>
    <row r="1406" spans="1:22">
      <c r="A1406" t="s">
        <v>951</v>
      </c>
      <c r="B1406">
        <v>28</v>
      </c>
      <c r="C1406">
        <v>640</v>
      </c>
      <c r="D1406" t="s">
        <v>14</v>
      </c>
      <c r="E1406" t="s">
        <v>1501</v>
      </c>
      <c r="F1406" t="s">
        <v>1496</v>
      </c>
      <c r="G1406">
        <v>84</v>
      </c>
      <c r="H1406">
        <v>3</v>
      </c>
      <c r="I1406">
        <v>1</v>
      </c>
      <c r="J1406" t="s">
        <v>1476</v>
      </c>
      <c r="K1406" t="s">
        <v>1477</v>
      </c>
      <c r="L1406">
        <v>1</v>
      </c>
      <c r="M1406" t="s">
        <v>12</v>
      </c>
      <c r="N1406">
        <v>2</v>
      </c>
      <c r="O1406" t="s">
        <v>13</v>
      </c>
      <c r="P1406">
        <v>5</v>
      </c>
      <c r="Q1406" s="4">
        <v>45744</v>
      </c>
      <c r="R1406" s="4"/>
      <c r="S1406" t="str">
        <f>TEXT(Table1[[#This Row],[Hiring Date]],"mmmm")</f>
        <v>March</v>
      </c>
      <c r="T1406" s="1">
        <f>COUNTIF(S:S,Table1[[#This Row],[Months List]])</f>
        <v>0</v>
      </c>
      <c r="U1406" t="str">
        <f>TEXT(Table1[[#This Row],[Hiring Date]],"dddd")</f>
        <v>Friday</v>
      </c>
      <c r="V1406" s="1" t="str">
        <f>TEXT(Table1[[#This Row],[Hiring Date]],"yyyy")</f>
        <v>2025</v>
      </c>
    </row>
    <row r="1407" spans="1:22">
      <c r="A1407" t="s">
        <v>952</v>
      </c>
      <c r="B1407">
        <v>25</v>
      </c>
      <c r="C1407">
        <v>266</v>
      </c>
      <c r="D1407" t="s">
        <v>14</v>
      </c>
      <c r="E1407" t="s">
        <v>1495</v>
      </c>
      <c r="F1407" t="s">
        <v>1499</v>
      </c>
      <c r="G1407">
        <v>40</v>
      </c>
      <c r="H1407">
        <v>3</v>
      </c>
      <c r="I1407">
        <v>1</v>
      </c>
      <c r="J1407" t="s">
        <v>1476</v>
      </c>
      <c r="K1407" t="s">
        <v>1477</v>
      </c>
      <c r="L1407">
        <v>2</v>
      </c>
      <c r="M1407" t="s">
        <v>12</v>
      </c>
      <c r="N1407">
        <v>1</v>
      </c>
      <c r="O1407" t="s">
        <v>13</v>
      </c>
      <c r="P1407">
        <v>2</v>
      </c>
      <c r="Q1407" s="4">
        <v>45731</v>
      </c>
      <c r="R1407" s="4"/>
      <c r="S1407" t="str">
        <f>TEXT(Table1[[#This Row],[Hiring Date]],"mmmm")</f>
        <v>March</v>
      </c>
      <c r="T1407" s="1">
        <f>COUNTIF(S:S,Table1[[#This Row],[Months List]])</f>
        <v>0</v>
      </c>
      <c r="U1407" t="str">
        <f>TEXT(Table1[[#This Row],[Hiring Date]],"dddd")</f>
        <v>Saturday</v>
      </c>
      <c r="V1407" s="1" t="str">
        <f>TEXT(Table1[[#This Row],[Hiring Date]],"yyyy")</f>
        <v>2025</v>
      </c>
    </row>
    <row r="1408" spans="1:22">
      <c r="A1408" t="s">
        <v>953</v>
      </c>
      <c r="B1408">
        <v>32</v>
      </c>
      <c r="C1408">
        <v>604</v>
      </c>
      <c r="D1408" t="s">
        <v>11</v>
      </c>
      <c r="E1408" t="s">
        <v>1495</v>
      </c>
      <c r="F1408" t="s">
        <v>1496</v>
      </c>
      <c r="G1408">
        <v>56</v>
      </c>
      <c r="H1408">
        <v>4</v>
      </c>
      <c r="I1408">
        <v>2</v>
      </c>
      <c r="J1408" t="s">
        <v>1474</v>
      </c>
      <c r="K1408" t="s">
        <v>1475</v>
      </c>
      <c r="L1408">
        <v>4</v>
      </c>
      <c r="M1408" t="s">
        <v>15</v>
      </c>
      <c r="N1408">
        <v>1</v>
      </c>
      <c r="O1408" t="s">
        <v>13</v>
      </c>
      <c r="P1408">
        <v>10</v>
      </c>
      <c r="Q1408" s="4">
        <v>45986</v>
      </c>
      <c r="R1408" s="4"/>
      <c r="S1408" t="str">
        <f>TEXT(Table1[[#This Row],[Hiring Date]],"mmmm")</f>
        <v>November</v>
      </c>
      <c r="T1408" s="1">
        <f>COUNTIF(S:S,Table1[[#This Row],[Months List]])</f>
        <v>0</v>
      </c>
      <c r="U1408" t="str">
        <f>TEXT(Table1[[#This Row],[Hiring Date]],"dddd")</f>
        <v>Tuesday</v>
      </c>
      <c r="V1408" s="1" t="str">
        <f>TEXT(Table1[[#This Row],[Hiring Date]],"yyyy")</f>
        <v>2025</v>
      </c>
    </row>
    <row r="1409" spans="1:22">
      <c r="A1409" t="s">
        <v>954</v>
      </c>
      <c r="B1409">
        <v>45</v>
      </c>
      <c r="C1409">
        <v>364</v>
      </c>
      <c r="D1409" t="s">
        <v>14</v>
      </c>
      <c r="E1409" t="s">
        <v>1495</v>
      </c>
      <c r="F1409" t="s">
        <v>1499</v>
      </c>
      <c r="G1409">
        <v>83</v>
      </c>
      <c r="H1409">
        <v>3</v>
      </c>
      <c r="I1409">
        <v>5</v>
      </c>
      <c r="J1409" t="s">
        <v>1482</v>
      </c>
      <c r="K1409" t="s">
        <v>1483</v>
      </c>
      <c r="L1409">
        <v>2</v>
      </c>
      <c r="M1409" t="s">
        <v>12</v>
      </c>
      <c r="N1409">
        <v>3</v>
      </c>
      <c r="O1409" t="s">
        <v>13</v>
      </c>
      <c r="P1409">
        <v>22</v>
      </c>
      <c r="Q1409" s="4">
        <v>45751</v>
      </c>
      <c r="R1409" s="4"/>
      <c r="S1409" t="str">
        <f>TEXT(Table1[[#This Row],[Hiring Date]],"mmmm")</f>
        <v>April</v>
      </c>
      <c r="T1409" s="1">
        <f>COUNTIF(S:S,Table1[[#This Row],[Months List]])</f>
        <v>0</v>
      </c>
      <c r="U1409" t="str">
        <f>TEXT(Table1[[#This Row],[Hiring Date]],"dddd")</f>
        <v>Friday</v>
      </c>
      <c r="V1409" s="1" t="str">
        <f>TEXT(Table1[[#This Row],[Hiring Date]],"yyyy")</f>
        <v>2025</v>
      </c>
    </row>
    <row r="1410" spans="1:22">
      <c r="A1410" t="s">
        <v>955</v>
      </c>
      <c r="B1410">
        <v>39</v>
      </c>
      <c r="C1410">
        <v>412</v>
      </c>
      <c r="D1410" t="s">
        <v>14</v>
      </c>
      <c r="E1410" t="s">
        <v>1495</v>
      </c>
      <c r="F1410" t="s">
        <v>1499</v>
      </c>
      <c r="G1410">
        <v>94</v>
      </c>
      <c r="H1410">
        <v>2</v>
      </c>
      <c r="I1410">
        <v>4</v>
      </c>
      <c r="J1410" t="s">
        <v>1482</v>
      </c>
      <c r="K1410" t="s">
        <v>1483</v>
      </c>
      <c r="L1410">
        <v>2</v>
      </c>
      <c r="M1410" t="s">
        <v>16</v>
      </c>
      <c r="N1410">
        <v>6</v>
      </c>
      <c r="O1410" t="s">
        <v>10</v>
      </c>
      <c r="P1410">
        <v>21</v>
      </c>
      <c r="Q1410" s="4">
        <v>45796</v>
      </c>
      <c r="R1410" s="4"/>
      <c r="S1410" t="str">
        <f>TEXT(Table1[[#This Row],[Hiring Date]],"mmmm")</f>
        <v>May</v>
      </c>
      <c r="T1410" s="1">
        <f>COUNTIF(S:S,Table1[[#This Row],[Months List]])</f>
        <v>0</v>
      </c>
      <c r="U1410" t="str">
        <f>TEXT(Table1[[#This Row],[Hiring Date]],"dddd")</f>
        <v>Monday</v>
      </c>
      <c r="V1410" s="1" t="str">
        <f>TEXT(Table1[[#This Row],[Hiring Date]],"yyyy")</f>
        <v>2025</v>
      </c>
    </row>
    <row r="1411" spans="1:22">
      <c r="A1411" t="s">
        <v>956</v>
      </c>
      <c r="B1411">
        <v>58</v>
      </c>
      <c r="C1411">
        <v>848</v>
      </c>
      <c r="D1411" t="s">
        <v>14</v>
      </c>
      <c r="E1411" t="s">
        <v>1497</v>
      </c>
      <c r="F1411" t="s">
        <v>1496</v>
      </c>
      <c r="G1411">
        <v>88</v>
      </c>
      <c r="H1411">
        <v>3</v>
      </c>
      <c r="I1411">
        <v>1</v>
      </c>
      <c r="J1411" t="s">
        <v>1476</v>
      </c>
      <c r="K1411" t="s">
        <v>1477</v>
      </c>
      <c r="L1411">
        <v>3</v>
      </c>
      <c r="M1411" t="s">
        <v>16</v>
      </c>
      <c r="N1411">
        <v>1</v>
      </c>
      <c r="O1411" t="s">
        <v>13</v>
      </c>
      <c r="P1411">
        <v>2</v>
      </c>
      <c r="Q1411" s="4">
        <v>45873</v>
      </c>
      <c r="R1411" s="4"/>
      <c r="S1411" t="str">
        <f>TEXT(Table1[[#This Row],[Hiring Date]],"mmmm")</f>
        <v>August</v>
      </c>
      <c r="T1411" s="1">
        <f>COUNTIF(S:S,Table1[[#This Row],[Months List]])</f>
        <v>0</v>
      </c>
      <c r="U1411" t="str">
        <f>TEXT(Table1[[#This Row],[Hiring Date]],"dddd")</f>
        <v>Monday</v>
      </c>
      <c r="V1411" s="1" t="str">
        <f>TEXT(Table1[[#This Row],[Hiring Date]],"yyyy")</f>
        <v>2025</v>
      </c>
    </row>
    <row r="1412" spans="1:22">
      <c r="A1412" t="s">
        <v>102</v>
      </c>
      <c r="B1412">
        <v>34</v>
      </c>
      <c r="C1412">
        <v>1153</v>
      </c>
      <c r="D1412" t="s">
        <v>14</v>
      </c>
      <c r="E1412" t="s">
        <v>1495</v>
      </c>
      <c r="F1412" t="s">
        <v>1496</v>
      </c>
      <c r="G1412">
        <v>94</v>
      </c>
      <c r="H1412">
        <v>3</v>
      </c>
      <c r="I1412">
        <v>2</v>
      </c>
      <c r="J1412" t="s">
        <v>1480</v>
      </c>
      <c r="K1412" t="s">
        <v>1481</v>
      </c>
      <c r="L1412">
        <v>2</v>
      </c>
      <c r="M1412" t="s">
        <v>15</v>
      </c>
      <c r="N1412">
        <v>1</v>
      </c>
      <c r="O1412" t="s">
        <v>13</v>
      </c>
      <c r="P1412">
        <v>5</v>
      </c>
      <c r="Q1412" s="4">
        <v>45665</v>
      </c>
      <c r="R1412" s="4"/>
      <c r="S1412" t="str">
        <f>TEXT(Table1[[#This Row],[Hiring Date]],"mmmm")</f>
        <v>January</v>
      </c>
      <c r="T1412" s="1">
        <f>COUNTIF(S:S,Table1[[#This Row],[Months List]])</f>
        <v>0</v>
      </c>
      <c r="U1412" t="str">
        <f>TEXT(Table1[[#This Row],[Hiring Date]],"dddd")</f>
        <v>Wednesday</v>
      </c>
      <c r="V1412" s="1" t="str">
        <f>TEXT(Table1[[#This Row],[Hiring Date]],"yyyy")</f>
        <v>2025</v>
      </c>
    </row>
    <row r="1413" spans="1:22">
      <c r="A1413" t="s">
        <v>957</v>
      </c>
      <c r="B1413">
        <v>32</v>
      </c>
      <c r="C1413">
        <v>1089</v>
      </c>
      <c r="D1413" t="s">
        <v>14</v>
      </c>
      <c r="E1413" t="s">
        <v>1497</v>
      </c>
      <c r="F1413" t="s">
        <v>1496</v>
      </c>
      <c r="G1413">
        <v>79</v>
      </c>
      <c r="H1413">
        <v>3</v>
      </c>
      <c r="I1413">
        <v>2</v>
      </c>
      <c r="J1413" t="s">
        <v>1484</v>
      </c>
      <c r="K1413" t="s">
        <v>1485</v>
      </c>
      <c r="L1413">
        <v>3</v>
      </c>
      <c r="M1413" t="s">
        <v>15</v>
      </c>
      <c r="N1413">
        <v>1</v>
      </c>
      <c r="O1413" t="s">
        <v>13</v>
      </c>
      <c r="P1413">
        <v>10</v>
      </c>
      <c r="Q1413" s="4">
        <v>45897</v>
      </c>
      <c r="R1413" s="4"/>
      <c r="S1413" t="str">
        <f>TEXT(Table1[[#This Row],[Hiring Date]],"mmmm")</f>
        <v>August</v>
      </c>
      <c r="T1413" s="1">
        <f>COUNTIF(S:S,Table1[[#This Row],[Months List]])</f>
        <v>0</v>
      </c>
      <c r="U1413" t="str">
        <f>TEXT(Table1[[#This Row],[Hiring Date]],"dddd")</f>
        <v>Thursday</v>
      </c>
      <c r="V1413" s="1" t="str">
        <f>TEXT(Table1[[#This Row],[Hiring Date]],"yyyy")</f>
        <v>2025</v>
      </c>
    </row>
    <row r="1414" spans="1:22">
      <c r="A1414" t="s">
        <v>958</v>
      </c>
      <c r="B1414">
        <v>39</v>
      </c>
      <c r="C1414">
        <v>360</v>
      </c>
      <c r="D1414" t="s">
        <v>14</v>
      </c>
      <c r="E1414" t="s">
        <v>1495</v>
      </c>
      <c r="F1414" t="s">
        <v>1496</v>
      </c>
      <c r="G1414">
        <v>93</v>
      </c>
      <c r="H1414">
        <v>3</v>
      </c>
      <c r="I1414">
        <v>1</v>
      </c>
      <c r="J1414" t="s">
        <v>1476</v>
      </c>
      <c r="K1414" t="s">
        <v>1477</v>
      </c>
      <c r="L1414">
        <v>1</v>
      </c>
      <c r="M1414" t="s">
        <v>12</v>
      </c>
      <c r="N1414">
        <v>0</v>
      </c>
      <c r="O1414" t="s">
        <v>13</v>
      </c>
      <c r="P1414">
        <v>6</v>
      </c>
      <c r="Q1414" s="4">
        <v>45878</v>
      </c>
      <c r="R1414" s="4"/>
      <c r="S1414" t="str">
        <f>TEXT(Table1[[#This Row],[Hiring Date]],"mmmm")</f>
        <v>August</v>
      </c>
      <c r="T1414" s="1">
        <f>COUNTIF(S:S,Table1[[#This Row],[Months List]])</f>
        <v>0</v>
      </c>
      <c r="U1414" t="str">
        <f>TEXT(Table1[[#This Row],[Hiring Date]],"dddd")</f>
        <v>Saturday</v>
      </c>
      <c r="V1414" s="1" t="str">
        <f>TEXT(Table1[[#This Row],[Hiring Date]],"yyyy")</f>
        <v>2025</v>
      </c>
    </row>
    <row r="1415" spans="1:22">
      <c r="A1415" t="s">
        <v>959</v>
      </c>
      <c r="B1415">
        <v>30</v>
      </c>
      <c r="C1415">
        <v>1138</v>
      </c>
      <c r="D1415" t="s">
        <v>14</v>
      </c>
      <c r="E1415" t="s">
        <v>1501</v>
      </c>
      <c r="F1415" t="s">
        <v>1499</v>
      </c>
      <c r="G1415">
        <v>48</v>
      </c>
      <c r="H1415">
        <v>2</v>
      </c>
      <c r="I1415">
        <v>2</v>
      </c>
      <c r="J1415" t="s">
        <v>1484</v>
      </c>
      <c r="K1415" t="s">
        <v>1485</v>
      </c>
      <c r="L1415">
        <v>4</v>
      </c>
      <c r="M1415" t="s">
        <v>15</v>
      </c>
      <c r="N1415">
        <v>0</v>
      </c>
      <c r="O1415" t="s">
        <v>13</v>
      </c>
      <c r="P1415">
        <v>10</v>
      </c>
      <c r="Q1415" s="4">
        <v>45662</v>
      </c>
      <c r="R1415" s="4"/>
      <c r="S1415" t="str">
        <f>TEXT(Table1[[#This Row],[Hiring Date]],"mmmm")</f>
        <v>January</v>
      </c>
      <c r="T1415" s="1">
        <f>COUNTIF(S:S,Table1[[#This Row],[Months List]])</f>
        <v>0</v>
      </c>
      <c r="U1415" t="str">
        <f>TEXT(Table1[[#This Row],[Hiring Date]],"dddd")</f>
        <v>Sunday</v>
      </c>
      <c r="V1415" s="1" t="str">
        <f>TEXT(Table1[[#This Row],[Hiring Date]],"yyyy")</f>
        <v>2025</v>
      </c>
    </row>
    <row r="1416" spans="1:22">
      <c r="A1416" t="s">
        <v>960</v>
      </c>
      <c r="B1416">
        <v>36</v>
      </c>
      <c r="C1416">
        <v>325</v>
      </c>
      <c r="D1416" t="s">
        <v>14</v>
      </c>
      <c r="E1416" t="s">
        <v>1501</v>
      </c>
      <c r="F1416" t="s">
        <v>1499</v>
      </c>
      <c r="G1416">
        <v>63</v>
      </c>
      <c r="H1416">
        <v>3</v>
      </c>
      <c r="I1416">
        <v>3</v>
      </c>
      <c r="J1416" t="s">
        <v>1478</v>
      </c>
      <c r="K1416" t="s">
        <v>1479</v>
      </c>
      <c r="L1416">
        <v>3</v>
      </c>
      <c r="M1416" t="s">
        <v>15</v>
      </c>
      <c r="N1416">
        <v>3</v>
      </c>
      <c r="O1416" t="s">
        <v>13</v>
      </c>
      <c r="P1416">
        <v>10</v>
      </c>
      <c r="Q1416" s="4">
        <v>45958</v>
      </c>
      <c r="R1416" s="4"/>
      <c r="S1416" t="str">
        <f>TEXT(Table1[[#This Row],[Hiring Date]],"mmmm")</f>
        <v>October</v>
      </c>
      <c r="T1416" s="1">
        <f>COUNTIF(S:S,Table1[[#This Row],[Months List]])</f>
        <v>0</v>
      </c>
      <c r="U1416" t="str">
        <f>TEXT(Table1[[#This Row],[Hiring Date]],"dddd")</f>
        <v>Tuesday</v>
      </c>
      <c r="V1416" s="1" t="str">
        <f>TEXT(Table1[[#This Row],[Hiring Date]],"yyyy")</f>
        <v>2025</v>
      </c>
    </row>
    <row r="1417" spans="1:22">
      <c r="A1417" t="s">
        <v>961</v>
      </c>
      <c r="B1417">
        <v>46</v>
      </c>
      <c r="C1417">
        <v>991</v>
      </c>
      <c r="D1417" t="s">
        <v>17</v>
      </c>
      <c r="E1417" t="s">
        <v>1497</v>
      </c>
      <c r="F1417" t="s">
        <v>1499</v>
      </c>
      <c r="G1417">
        <v>44</v>
      </c>
      <c r="H1417">
        <v>3</v>
      </c>
      <c r="I1417">
        <v>1</v>
      </c>
      <c r="J1417" t="s">
        <v>1486</v>
      </c>
      <c r="K1417" t="s">
        <v>17</v>
      </c>
      <c r="L1417">
        <v>1</v>
      </c>
      <c r="M1417" t="s">
        <v>12</v>
      </c>
      <c r="N1417">
        <v>6</v>
      </c>
      <c r="O1417" t="s">
        <v>13</v>
      </c>
      <c r="P1417">
        <v>10</v>
      </c>
      <c r="Q1417" s="4">
        <v>45855</v>
      </c>
      <c r="R1417" s="4"/>
      <c r="S1417" t="str">
        <f>TEXT(Table1[[#This Row],[Hiring Date]],"mmmm")</f>
        <v>July</v>
      </c>
      <c r="T1417" s="1">
        <f>COUNTIF(S:S,Table1[[#This Row],[Months List]])</f>
        <v>0</v>
      </c>
      <c r="U1417" t="str">
        <f>TEXT(Table1[[#This Row],[Hiring Date]],"dddd")</f>
        <v>Thursday</v>
      </c>
      <c r="V1417" s="1" t="str">
        <f>TEXT(Table1[[#This Row],[Hiring Date]],"yyyy")</f>
        <v>2025</v>
      </c>
    </row>
    <row r="1418" spans="1:22">
      <c r="A1418" t="s">
        <v>962</v>
      </c>
      <c r="B1418">
        <v>28</v>
      </c>
      <c r="C1418">
        <v>1476</v>
      </c>
      <c r="D1418" t="s">
        <v>14</v>
      </c>
      <c r="E1418" t="s">
        <v>1497</v>
      </c>
      <c r="F1418" t="s">
        <v>1499</v>
      </c>
      <c r="G1418">
        <v>55</v>
      </c>
      <c r="H1418">
        <v>1</v>
      </c>
      <c r="I1418">
        <v>2</v>
      </c>
      <c r="J1418" t="s">
        <v>1484</v>
      </c>
      <c r="K1418" t="s">
        <v>1485</v>
      </c>
      <c r="L1418">
        <v>4</v>
      </c>
      <c r="M1418" t="s">
        <v>15</v>
      </c>
      <c r="N1418">
        <v>0</v>
      </c>
      <c r="O1418" t="s">
        <v>13</v>
      </c>
      <c r="P1418">
        <v>10</v>
      </c>
      <c r="Q1418" s="4">
        <v>45636</v>
      </c>
      <c r="R1418" s="4"/>
      <c r="S1418" t="str">
        <f>TEXT(Table1[[#This Row],[Hiring Date]],"mmmm")</f>
        <v>December</v>
      </c>
      <c r="T1418" s="1">
        <f>COUNTIF(S:S,Table1[[#This Row],[Months List]])</f>
        <v>0</v>
      </c>
      <c r="U1418" t="str">
        <f>TEXT(Table1[[#This Row],[Hiring Date]],"dddd")</f>
        <v>Tuesday</v>
      </c>
      <c r="V1418" s="1" t="str">
        <f>TEXT(Table1[[#This Row],[Hiring Date]],"yyyy")</f>
        <v>2024</v>
      </c>
    </row>
    <row r="1419" spans="1:22">
      <c r="A1419" t="s">
        <v>963</v>
      </c>
      <c r="B1419">
        <v>50</v>
      </c>
      <c r="C1419">
        <v>1322</v>
      </c>
      <c r="D1419" t="s">
        <v>14</v>
      </c>
      <c r="E1419" t="s">
        <v>1497</v>
      </c>
      <c r="F1419" t="s">
        <v>1499</v>
      </c>
      <c r="G1419">
        <v>43</v>
      </c>
      <c r="H1419">
        <v>3</v>
      </c>
      <c r="I1419">
        <v>4</v>
      </c>
      <c r="J1419" t="s">
        <v>1487</v>
      </c>
      <c r="K1419" t="s">
        <v>1488</v>
      </c>
      <c r="L1419">
        <v>1</v>
      </c>
      <c r="M1419" t="s">
        <v>15</v>
      </c>
      <c r="N1419">
        <v>4</v>
      </c>
      <c r="O1419" t="s">
        <v>10</v>
      </c>
      <c r="P1419">
        <v>25</v>
      </c>
      <c r="Q1419" s="4">
        <v>45868</v>
      </c>
      <c r="R1419" s="4"/>
      <c r="S1419" t="str">
        <f>TEXT(Table1[[#This Row],[Hiring Date]],"mmmm")</f>
        <v>July</v>
      </c>
      <c r="T1419" s="1">
        <f>COUNTIF(S:S,Table1[[#This Row],[Months List]])</f>
        <v>0</v>
      </c>
      <c r="U1419" t="str">
        <f>TEXT(Table1[[#This Row],[Hiring Date]],"dddd")</f>
        <v>Wednesday</v>
      </c>
      <c r="V1419" s="1" t="str">
        <f>TEXT(Table1[[#This Row],[Hiring Date]],"yyyy")</f>
        <v>2025</v>
      </c>
    </row>
    <row r="1420" spans="1:22">
      <c r="A1420" t="s">
        <v>964</v>
      </c>
      <c r="B1420">
        <v>40</v>
      </c>
      <c r="C1420">
        <v>299</v>
      </c>
      <c r="D1420" t="s">
        <v>11</v>
      </c>
      <c r="E1420" t="s">
        <v>1498</v>
      </c>
      <c r="F1420" t="s">
        <v>1496</v>
      </c>
      <c r="G1420">
        <v>57</v>
      </c>
      <c r="H1420">
        <v>2</v>
      </c>
      <c r="I1420">
        <v>3</v>
      </c>
      <c r="J1420" t="s">
        <v>1474</v>
      </c>
      <c r="K1420" t="s">
        <v>1475</v>
      </c>
      <c r="L1420">
        <v>2</v>
      </c>
      <c r="M1420" t="s">
        <v>12</v>
      </c>
      <c r="N1420">
        <v>2</v>
      </c>
      <c r="O1420" t="s">
        <v>10</v>
      </c>
      <c r="P1420">
        <v>9</v>
      </c>
      <c r="Q1420" s="4">
        <v>45799</v>
      </c>
      <c r="R1420" s="4"/>
      <c r="S1420" t="str">
        <f>TEXT(Table1[[#This Row],[Hiring Date]],"mmmm")</f>
        <v>May</v>
      </c>
      <c r="T1420" s="1">
        <f>COUNTIF(S:S,Table1[[#This Row],[Months List]])</f>
        <v>0</v>
      </c>
      <c r="U1420" t="str">
        <f>TEXT(Table1[[#This Row],[Hiring Date]],"dddd")</f>
        <v>Thursday</v>
      </c>
      <c r="V1420" s="1" t="str">
        <f>TEXT(Table1[[#This Row],[Hiring Date]],"yyyy")</f>
        <v>2025</v>
      </c>
    </row>
    <row r="1421" spans="1:22">
      <c r="A1421" t="s">
        <v>965</v>
      </c>
      <c r="B1421">
        <v>52</v>
      </c>
      <c r="C1421">
        <v>1030</v>
      </c>
      <c r="D1421" t="s">
        <v>11</v>
      </c>
      <c r="E1421" t="s">
        <v>1497</v>
      </c>
      <c r="F1421" t="s">
        <v>1496</v>
      </c>
      <c r="G1421">
        <v>64</v>
      </c>
      <c r="H1421">
        <v>3</v>
      </c>
      <c r="I1421">
        <v>3</v>
      </c>
      <c r="J1421" t="s">
        <v>1474</v>
      </c>
      <c r="K1421" t="s">
        <v>1475</v>
      </c>
      <c r="L1421">
        <v>2</v>
      </c>
      <c r="M1421" t="s">
        <v>12</v>
      </c>
      <c r="N1421">
        <v>9</v>
      </c>
      <c r="O1421" t="s">
        <v>10</v>
      </c>
      <c r="P1421">
        <v>10</v>
      </c>
      <c r="Q1421" s="4">
        <v>45928</v>
      </c>
      <c r="R1421" s="4"/>
      <c r="S1421" t="str">
        <f>TEXT(Table1[[#This Row],[Hiring Date]],"mmmm")</f>
        <v>September</v>
      </c>
      <c r="T1421" s="1">
        <f>COUNTIF(S:S,Table1[[#This Row],[Months List]])</f>
        <v>0</v>
      </c>
      <c r="U1421" t="str">
        <f>TEXT(Table1[[#This Row],[Hiring Date]],"dddd")</f>
        <v>Sunday</v>
      </c>
      <c r="V1421" s="1" t="str">
        <f>TEXT(Table1[[#This Row],[Hiring Date]],"yyyy")</f>
        <v>2025</v>
      </c>
    </row>
    <row r="1422" spans="1:22">
      <c r="A1422" t="s">
        <v>966</v>
      </c>
      <c r="B1422">
        <v>30</v>
      </c>
      <c r="C1422">
        <v>634</v>
      </c>
      <c r="D1422" t="s">
        <v>14</v>
      </c>
      <c r="E1422" t="s">
        <v>1495</v>
      </c>
      <c r="F1422" t="s">
        <v>1499</v>
      </c>
      <c r="G1422">
        <v>95</v>
      </c>
      <c r="H1422">
        <v>3</v>
      </c>
      <c r="I1422">
        <v>3</v>
      </c>
      <c r="J1422" t="s">
        <v>1482</v>
      </c>
      <c r="K1422" t="s">
        <v>1483</v>
      </c>
      <c r="L1422">
        <v>1</v>
      </c>
      <c r="M1422" t="s">
        <v>15</v>
      </c>
      <c r="N1422">
        <v>1</v>
      </c>
      <c r="O1422" t="s">
        <v>10</v>
      </c>
      <c r="P1422">
        <v>9</v>
      </c>
      <c r="Q1422" s="4">
        <v>45715</v>
      </c>
      <c r="R1422" s="4"/>
      <c r="S1422" t="str">
        <f>TEXT(Table1[[#This Row],[Hiring Date]],"mmmm")</f>
        <v>February</v>
      </c>
      <c r="T1422" s="1">
        <f>COUNTIF(S:S,Table1[[#This Row],[Months List]])</f>
        <v>0</v>
      </c>
      <c r="U1422" t="str">
        <f>TEXT(Table1[[#This Row],[Hiring Date]],"dddd")</f>
        <v>Thursday</v>
      </c>
      <c r="V1422" s="1" t="str">
        <f>TEXT(Table1[[#This Row],[Hiring Date]],"yyyy")</f>
        <v>2025</v>
      </c>
    </row>
    <row r="1423" spans="1:22">
      <c r="A1423" t="s">
        <v>103</v>
      </c>
      <c r="B1423">
        <v>56</v>
      </c>
      <c r="C1423">
        <v>1400</v>
      </c>
      <c r="D1423" t="s">
        <v>14</v>
      </c>
      <c r="E1423" t="s">
        <v>1497</v>
      </c>
      <c r="F1423" t="s">
        <v>1496</v>
      </c>
      <c r="G1423">
        <v>49</v>
      </c>
      <c r="H1423">
        <v>1</v>
      </c>
      <c r="I1423">
        <v>3</v>
      </c>
      <c r="J1423" t="s">
        <v>1480</v>
      </c>
      <c r="K1423" t="s">
        <v>1481</v>
      </c>
      <c r="L1423">
        <v>4</v>
      </c>
      <c r="M1423" t="s">
        <v>12</v>
      </c>
      <c r="N1423">
        <v>4</v>
      </c>
      <c r="O1423" t="s">
        <v>13</v>
      </c>
      <c r="P1423">
        <v>37</v>
      </c>
      <c r="Q1423" s="4">
        <v>45765</v>
      </c>
      <c r="R1423" s="4"/>
      <c r="S1423" t="str">
        <f>TEXT(Table1[[#This Row],[Hiring Date]],"mmmm")</f>
        <v>April</v>
      </c>
      <c r="T1423" s="1">
        <f>COUNTIF(S:S,Table1[[#This Row],[Months List]])</f>
        <v>0</v>
      </c>
      <c r="U1423" t="str">
        <f>TEXT(Table1[[#This Row],[Hiring Date]],"dddd")</f>
        <v>Friday</v>
      </c>
      <c r="V1423" s="1" t="str">
        <f>TEXT(Table1[[#This Row],[Hiring Date]],"yyyy")</f>
        <v>2025</v>
      </c>
    </row>
    <row r="1424" spans="1:22">
      <c r="A1424" t="s">
        <v>967</v>
      </c>
      <c r="B1424">
        <v>39</v>
      </c>
      <c r="C1424">
        <v>524</v>
      </c>
      <c r="D1424" t="s">
        <v>14</v>
      </c>
      <c r="E1424" t="s">
        <v>1497</v>
      </c>
      <c r="F1424" t="s">
        <v>1496</v>
      </c>
      <c r="G1424">
        <v>32</v>
      </c>
      <c r="H1424">
        <v>3</v>
      </c>
      <c r="I1424">
        <v>2</v>
      </c>
      <c r="J1424" t="s">
        <v>1480</v>
      </c>
      <c r="K1424" t="s">
        <v>1481</v>
      </c>
      <c r="L1424">
        <v>3</v>
      </c>
      <c r="M1424" t="s">
        <v>12</v>
      </c>
      <c r="N1424">
        <v>0</v>
      </c>
      <c r="O1424" t="s">
        <v>13</v>
      </c>
      <c r="P1424">
        <v>9</v>
      </c>
      <c r="Q1424" s="4">
        <v>45903</v>
      </c>
      <c r="R1424" s="4"/>
      <c r="S1424" t="str">
        <f>TEXT(Table1[[#This Row],[Hiring Date]],"mmmm")</f>
        <v>September</v>
      </c>
      <c r="T1424" s="1">
        <f>COUNTIF(S:S,Table1[[#This Row],[Months List]])</f>
        <v>0</v>
      </c>
      <c r="U1424" t="str">
        <f>TEXT(Table1[[#This Row],[Hiring Date]],"dddd")</f>
        <v>Wednesday</v>
      </c>
      <c r="V1424" s="1" t="str">
        <f>TEXT(Table1[[#This Row],[Hiring Date]],"yyyy")</f>
        <v>2025</v>
      </c>
    </row>
    <row r="1425" spans="1:22">
      <c r="A1425" t="s">
        <v>968</v>
      </c>
      <c r="B1425">
        <v>31</v>
      </c>
      <c r="C1425">
        <v>587</v>
      </c>
      <c r="D1425" t="s">
        <v>11</v>
      </c>
      <c r="E1425" t="s">
        <v>1497</v>
      </c>
      <c r="F1425" t="s">
        <v>1499</v>
      </c>
      <c r="G1425">
        <v>57</v>
      </c>
      <c r="H1425">
        <v>3</v>
      </c>
      <c r="I1425">
        <v>3</v>
      </c>
      <c r="J1425" t="s">
        <v>1474</v>
      </c>
      <c r="K1425" t="s">
        <v>1475</v>
      </c>
      <c r="L1425">
        <v>3</v>
      </c>
      <c r="M1425" t="s">
        <v>16</v>
      </c>
      <c r="N1425">
        <v>1</v>
      </c>
      <c r="O1425" t="s">
        <v>10</v>
      </c>
      <c r="P1425">
        <v>10</v>
      </c>
      <c r="Q1425" s="4">
        <v>45765</v>
      </c>
      <c r="R1425" s="4"/>
      <c r="S1425" t="str">
        <f>TEXT(Table1[[#This Row],[Hiring Date]],"mmmm")</f>
        <v>April</v>
      </c>
      <c r="T1425" s="1">
        <f>COUNTIF(S:S,Table1[[#This Row],[Months List]])</f>
        <v>0</v>
      </c>
      <c r="U1425" t="str">
        <f>TEXT(Table1[[#This Row],[Hiring Date]],"dddd")</f>
        <v>Friday</v>
      </c>
      <c r="V1425" s="1" t="str">
        <f>TEXT(Table1[[#This Row],[Hiring Date]],"yyyy")</f>
        <v>2025</v>
      </c>
    </row>
    <row r="1426" spans="1:22">
      <c r="A1426" t="s">
        <v>969</v>
      </c>
      <c r="B1426">
        <v>41</v>
      </c>
      <c r="C1426">
        <v>256</v>
      </c>
      <c r="D1426" t="s">
        <v>11</v>
      </c>
      <c r="E1426" t="s">
        <v>1495</v>
      </c>
      <c r="F1426" t="s">
        <v>1496</v>
      </c>
      <c r="G1426">
        <v>40</v>
      </c>
      <c r="H1426">
        <v>1</v>
      </c>
      <c r="I1426">
        <v>2</v>
      </c>
      <c r="J1426" t="s">
        <v>1474</v>
      </c>
      <c r="K1426" t="s">
        <v>1475</v>
      </c>
      <c r="L1426">
        <v>2</v>
      </c>
      <c r="M1426" t="s">
        <v>12</v>
      </c>
      <c r="N1426">
        <v>1</v>
      </c>
      <c r="O1426" t="s">
        <v>13</v>
      </c>
      <c r="P1426">
        <v>19</v>
      </c>
      <c r="Q1426" s="4">
        <v>45953</v>
      </c>
      <c r="R1426" s="4"/>
      <c r="S1426" t="str">
        <f>TEXT(Table1[[#This Row],[Hiring Date]],"mmmm")</f>
        <v>October</v>
      </c>
      <c r="T1426" s="1">
        <f>COUNTIF(S:S,Table1[[#This Row],[Months List]])</f>
        <v>0</v>
      </c>
      <c r="U1426" t="str">
        <f>TEXT(Table1[[#This Row],[Hiring Date]],"dddd")</f>
        <v>Thursday</v>
      </c>
      <c r="V1426" s="1" t="str">
        <f>TEXT(Table1[[#This Row],[Hiring Date]],"yyyy")</f>
        <v>2025</v>
      </c>
    </row>
    <row r="1427" spans="1:22">
      <c r="A1427" t="s">
        <v>970</v>
      </c>
      <c r="B1427">
        <v>31</v>
      </c>
      <c r="C1427">
        <v>1060</v>
      </c>
      <c r="D1427" t="s">
        <v>11</v>
      </c>
      <c r="E1427" t="s">
        <v>1497</v>
      </c>
      <c r="F1427" t="s">
        <v>1499</v>
      </c>
      <c r="G1427">
        <v>54</v>
      </c>
      <c r="H1427">
        <v>3</v>
      </c>
      <c r="I1427">
        <v>1</v>
      </c>
      <c r="J1427" t="s">
        <v>1489</v>
      </c>
      <c r="K1427" t="s">
        <v>1490</v>
      </c>
      <c r="L1427">
        <v>2</v>
      </c>
      <c r="M1427" t="s">
        <v>12</v>
      </c>
      <c r="N1427">
        <v>1</v>
      </c>
      <c r="O1427" t="s">
        <v>10</v>
      </c>
      <c r="P1427">
        <v>3</v>
      </c>
      <c r="Q1427" s="4">
        <v>45964</v>
      </c>
      <c r="R1427" s="4"/>
      <c r="S1427" t="str">
        <f>TEXT(Table1[[#This Row],[Hiring Date]],"mmmm")</f>
        <v>November</v>
      </c>
      <c r="T1427" s="1">
        <f>COUNTIF(S:S,Table1[[#This Row],[Months List]])</f>
        <v>0</v>
      </c>
      <c r="U1427" t="str">
        <f>TEXT(Table1[[#This Row],[Hiring Date]],"dddd")</f>
        <v>Monday</v>
      </c>
      <c r="V1427" s="1" t="str">
        <f>TEXT(Table1[[#This Row],[Hiring Date]],"yyyy")</f>
        <v>2025</v>
      </c>
    </row>
    <row r="1428" spans="1:22">
      <c r="A1428" t="s">
        <v>971</v>
      </c>
      <c r="B1428">
        <v>44</v>
      </c>
      <c r="C1428">
        <v>935</v>
      </c>
      <c r="D1428" t="s">
        <v>14</v>
      </c>
      <c r="E1428" t="s">
        <v>1497</v>
      </c>
      <c r="F1428" t="s">
        <v>1496</v>
      </c>
      <c r="G1428">
        <v>89</v>
      </c>
      <c r="H1428">
        <v>3</v>
      </c>
      <c r="I1428">
        <v>1</v>
      </c>
      <c r="J1428" t="s">
        <v>1484</v>
      </c>
      <c r="K1428" t="s">
        <v>1485</v>
      </c>
      <c r="L1428">
        <v>1</v>
      </c>
      <c r="M1428" t="s">
        <v>15</v>
      </c>
      <c r="N1428">
        <v>4</v>
      </c>
      <c r="O1428" t="s">
        <v>13</v>
      </c>
      <c r="P1428">
        <v>10</v>
      </c>
      <c r="Q1428" s="4">
        <v>45770</v>
      </c>
      <c r="R1428" s="4"/>
      <c r="S1428" t="str">
        <f>TEXT(Table1[[#This Row],[Hiring Date]],"mmmm")</f>
        <v>April</v>
      </c>
      <c r="T1428" s="1">
        <f>COUNTIF(S:S,Table1[[#This Row],[Months List]])</f>
        <v>0</v>
      </c>
      <c r="U1428" t="str">
        <f>TEXT(Table1[[#This Row],[Hiring Date]],"dddd")</f>
        <v>Wednesday</v>
      </c>
      <c r="V1428" s="1" t="str">
        <f>TEXT(Table1[[#This Row],[Hiring Date]],"yyyy")</f>
        <v>2025</v>
      </c>
    </row>
    <row r="1429" spans="1:22">
      <c r="A1429" t="s">
        <v>972</v>
      </c>
      <c r="B1429">
        <v>42</v>
      </c>
      <c r="C1429">
        <v>495</v>
      </c>
      <c r="D1429" t="s">
        <v>14</v>
      </c>
      <c r="E1429" t="s">
        <v>1497</v>
      </c>
      <c r="F1429" t="s">
        <v>1496</v>
      </c>
      <c r="G1429">
        <v>37</v>
      </c>
      <c r="H1429">
        <v>3</v>
      </c>
      <c r="I1429">
        <v>4</v>
      </c>
      <c r="J1429" t="s">
        <v>1482</v>
      </c>
      <c r="K1429" t="s">
        <v>1483</v>
      </c>
      <c r="L1429">
        <v>3</v>
      </c>
      <c r="M1429" t="s">
        <v>15</v>
      </c>
      <c r="N1429">
        <v>0</v>
      </c>
      <c r="O1429" t="s">
        <v>10</v>
      </c>
      <c r="P1429">
        <v>21</v>
      </c>
      <c r="Q1429" s="4">
        <v>45858</v>
      </c>
      <c r="R1429" s="4"/>
      <c r="S1429" t="str">
        <f>TEXT(Table1[[#This Row],[Hiring Date]],"mmmm")</f>
        <v>July</v>
      </c>
      <c r="T1429" s="1">
        <f>COUNTIF(S:S,Table1[[#This Row],[Months List]])</f>
        <v>0</v>
      </c>
      <c r="U1429" t="str">
        <f>TEXT(Table1[[#This Row],[Hiring Date]],"dddd")</f>
        <v>Sunday</v>
      </c>
      <c r="V1429" s="1" t="str">
        <f>TEXT(Table1[[#This Row],[Hiring Date]],"yyyy")</f>
        <v>2025</v>
      </c>
    </row>
    <row r="1430" spans="1:22">
      <c r="A1430" t="s">
        <v>973</v>
      </c>
      <c r="B1430">
        <v>55</v>
      </c>
      <c r="C1430">
        <v>282</v>
      </c>
      <c r="D1430" t="s">
        <v>14</v>
      </c>
      <c r="E1430" t="s">
        <v>1495</v>
      </c>
      <c r="F1430" t="s">
        <v>1499</v>
      </c>
      <c r="G1430">
        <v>58</v>
      </c>
      <c r="H1430">
        <v>1</v>
      </c>
      <c r="I1430">
        <v>5</v>
      </c>
      <c r="J1430" t="s">
        <v>1482</v>
      </c>
      <c r="K1430" t="s">
        <v>1483</v>
      </c>
      <c r="L1430">
        <v>3</v>
      </c>
      <c r="M1430" t="s">
        <v>15</v>
      </c>
      <c r="N1430">
        <v>4</v>
      </c>
      <c r="O1430" t="s">
        <v>13</v>
      </c>
      <c r="P1430">
        <v>23</v>
      </c>
      <c r="Q1430" s="4">
        <v>45756</v>
      </c>
      <c r="R1430" s="4"/>
      <c r="S1430" t="str">
        <f>TEXT(Table1[[#This Row],[Hiring Date]],"mmmm")</f>
        <v>April</v>
      </c>
      <c r="T1430" s="1">
        <f>COUNTIF(S:S,Table1[[#This Row],[Months List]])</f>
        <v>0</v>
      </c>
      <c r="U1430" t="str">
        <f>TEXT(Table1[[#This Row],[Hiring Date]],"dddd")</f>
        <v>Wednesday</v>
      </c>
      <c r="V1430" s="1" t="str">
        <f>TEXT(Table1[[#This Row],[Hiring Date]],"yyyy")</f>
        <v>2025</v>
      </c>
    </row>
    <row r="1431" spans="1:22">
      <c r="A1431" t="s">
        <v>974</v>
      </c>
      <c r="B1431">
        <v>56</v>
      </c>
      <c r="C1431">
        <v>206</v>
      </c>
      <c r="D1431" t="s">
        <v>17</v>
      </c>
      <c r="E1431" t="s">
        <v>1497</v>
      </c>
      <c r="F1431" t="s">
        <v>1496</v>
      </c>
      <c r="G1431">
        <v>99</v>
      </c>
      <c r="H1431">
        <v>3</v>
      </c>
      <c r="I1431">
        <v>5</v>
      </c>
      <c r="J1431" t="s">
        <v>1482</v>
      </c>
      <c r="K1431" t="s">
        <v>1483</v>
      </c>
      <c r="L1431">
        <v>2</v>
      </c>
      <c r="M1431" t="s">
        <v>12</v>
      </c>
      <c r="N1431">
        <v>6</v>
      </c>
      <c r="O1431" t="s">
        <v>13</v>
      </c>
      <c r="P1431">
        <v>36</v>
      </c>
      <c r="Q1431" s="4">
        <v>45889</v>
      </c>
      <c r="R1431" s="4"/>
      <c r="S1431" t="str">
        <f>TEXT(Table1[[#This Row],[Hiring Date]],"mmmm")</f>
        <v>August</v>
      </c>
      <c r="T1431" s="1">
        <f>COUNTIF(S:S,Table1[[#This Row],[Months List]])</f>
        <v>0</v>
      </c>
      <c r="U1431" t="str">
        <f>TEXT(Table1[[#This Row],[Hiring Date]],"dddd")</f>
        <v>Wednesday</v>
      </c>
      <c r="V1431" s="1" t="str">
        <f>TEXT(Table1[[#This Row],[Hiring Date]],"yyyy")</f>
        <v>2025</v>
      </c>
    </row>
    <row r="1432" spans="1:22">
      <c r="A1432" t="s">
        <v>975</v>
      </c>
      <c r="B1432">
        <v>40</v>
      </c>
      <c r="C1432">
        <v>458</v>
      </c>
      <c r="D1432" t="s">
        <v>14</v>
      </c>
      <c r="E1432" t="s">
        <v>1497</v>
      </c>
      <c r="F1432" t="s">
        <v>1496</v>
      </c>
      <c r="G1432">
        <v>74</v>
      </c>
      <c r="H1432">
        <v>3</v>
      </c>
      <c r="I1432">
        <v>1</v>
      </c>
      <c r="J1432" t="s">
        <v>1476</v>
      </c>
      <c r="K1432" t="s">
        <v>1477</v>
      </c>
      <c r="L1432">
        <v>3</v>
      </c>
      <c r="M1432" t="s">
        <v>16</v>
      </c>
      <c r="N1432">
        <v>9</v>
      </c>
      <c r="O1432" t="s">
        <v>13</v>
      </c>
      <c r="P1432">
        <v>6</v>
      </c>
      <c r="Q1432" s="4">
        <v>45789</v>
      </c>
      <c r="R1432" s="4"/>
      <c r="S1432" t="str">
        <f>TEXT(Table1[[#This Row],[Hiring Date]],"mmmm")</f>
        <v>May</v>
      </c>
      <c r="T1432" s="1">
        <f>COUNTIF(S:S,Table1[[#This Row],[Months List]])</f>
        <v>0</v>
      </c>
      <c r="U1432" t="str">
        <f>TEXT(Table1[[#This Row],[Hiring Date]],"dddd")</f>
        <v>Monday</v>
      </c>
      <c r="V1432" s="1" t="str">
        <f>TEXT(Table1[[#This Row],[Hiring Date]],"yyyy")</f>
        <v>2025</v>
      </c>
    </row>
    <row r="1433" spans="1:22">
      <c r="A1433" t="s">
        <v>976</v>
      </c>
      <c r="B1433">
        <v>34</v>
      </c>
      <c r="C1433">
        <v>943</v>
      </c>
      <c r="D1433" t="s">
        <v>14</v>
      </c>
      <c r="E1433" t="s">
        <v>1497</v>
      </c>
      <c r="F1433" t="s">
        <v>1496</v>
      </c>
      <c r="G1433">
        <v>86</v>
      </c>
      <c r="H1433">
        <v>3</v>
      </c>
      <c r="I1433">
        <v>3</v>
      </c>
      <c r="J1433" t="s">
        <v>1478</v>
      </c>
      <c r="K1433" t="s">
        <v>1479</v>
      </c>
      <c r="L1433">
        <v>4</v>
      </c>
      <c r="M1433" t="s">
        <v>16</v>
      </c>
      <c r="N1433">
        <v>0</v>
      </c>
      <c r="O1433" t="s">
        <v>13</v>
      </c>
      <c r="P1433">
        <v>10</v>
      </c>
      <c r="Q1433" s="4">
        <v>45807</v>
      </c>
      <c r="R1433" s="4"/>
      <c r="S1433" t="str">
        <f>TEXT(Table1[[#This Row],[Hiring Date]],"mmmm")</f>
        <v>May</v>
      </c>
      <c r="T1433" s="1">
        <f>COUNTIF(S:S,Table1[[#This Row],[Months List]])</f>
        <v>0</v>
      </c>
      <c r="U1433" t="str">
        <f>TEXT(Table1[[#This Row],[Hiring Date]],"dddd")</f>
        <v>Friday</v>
      </c>
      <c r="V1433" s="1" t="str">
        <f>TEXT(Table1[[#This Row],[Hiring Date]],"yyyy")</f>
        <v>2025</v>
      </c>
    </row>
    <row r="1434" spans="1:22">
      <c r="A1434" t="s">
        <v>104</v>
      </c>
      <c r="B1434">
        <v>23</v>
      </c>
      <c r="C1434">
        <v>541</v>
      </c>
      <c r="D1434" t="s">
        <v>11</v>
      </c>
      <c r="E1434" t="s">
        <v>1501</v>
      </c>
      <c r="F1434" t="s">
        <v>1496</v>
      </c>
      <c r="G1434">
        <v>62</v>
      </c>
      <c r="H1434">
        <v>3</v>
      </c>
      <c r="I1434">
        <v>1</v>
      </c>
      <c r="J1434" t="s">
        <v>1489</v>
      </c>
      <c r="K1434" t="s">
        <v>1490</v>
      </c>
      <c r="L1434">
        <v>1</v>
      </c>
      <c r="M1434" t="s">
        <v>16</v>
      </c>
      <c r="N1434">
        <v>3</v>
      </c>
      <c r="O1434" t="s">
        <v>13</v>
      </c>
      <c r="P1434">
        <v>3</v>
      </c>
      <c r="Q1434" s="4">
        <v>45889</v>
      </c>
      <c r="R1434" s="4"/>
      <c r="S1434" t="str">
        <f>TEXT(Table1[[#This Row],[Hiring Date]],"mmmm")</f>
        <v>August</v>
      </c>
      <c r="T1434" s="1">
        <f>COUNTIF(S:S,Table1[[#This Row],[Months List]])</f>
        <v>0</v>
      </c>
      <c r="U1434" t="str">
        <f>TEXT(Table1[[#This Row],[Hiring Date]],"dddd")</f>
        <v>Wednesday</v>
      </c>
      <c r="V1434" s="1" t="str">
        <f>TEXT(Table1[[#This Row],[Hiring Date]],"yyyy")</f>
        <v>2025</v>
      </c>
    </row>
    <row r="1435" spans="1:22">
      <c r="A1435" t="s">
        <v>977</v>
      </c>
      <c r="B1435">
        <v>40</v>
      </c>
      <c r="C1435">
        <v>523</v>
      </c>
      <c r="D1435" t="s">
        <v>14</v>
      </c>
      <c r="E1435" t="s">
        <v>1497</v>
      </c>
      <c r="F1435" t="s">
        <v>1496</v>
      </c>
      <c r="G1435">
        <v>98</v>
      </c>
      <c r="H1435">
        <v>3</v>
      </c>
      <c r="I1435">
        <v>2</v>
      </c>
      <c r="J1435" t="s">
        <v>1476</v>
      </c>
      <c r="K1435" t="s">
        <v>1477</v>
      </c>
      <c r="L1435">
        <v>4</v>
      </c>
      <c r="M1435" t="s">
        <v>12</v>
      </c>
      <c r="N1435">
        <v>1</v>
      </c>
      <c r="O1435" t="s">
        <v>13</v>
      </c>
      <c r="P1435">
        <v>9</v>
      </c>
      <c r="Q1435" s="4">
        <v>45922</v>
      </c>
      <c r="R1435" s="4"/>
      <c r="S1435" t="str">
        <f>TEXT(Table1[[#This Row],[Hiring Date]],"mmmm")</f>
        <v>September</v>
      </c>
      <c r="T1435" s="1">
        <f>COUNTIF(S:S,Table1[[#This Row],[Months List]])</f>
        <v>0</v>
      </c>
      <c r="U1435" t="str">
        <f>TEXT(Table1[[#This Row],[Hiring Date]],"dddd")</f>
        <v>Monday</v>
      </c>
      <c r="V1435" s="1" t="str">
        <f>TEXT(Table1[[#This Row],[Hiring Date]],"yyyy")</f>
        <v>2025</v>
      </c>
    </row>
    <row r="1436" spans="1:22">
      <c r="A1436" t="s">
        <v>978</v>
      </c>
      <c r="B1436">
        <v>41</v>
      </c>
      <c r="C1436">
        <v>1018</v>
      </c>
      <c r="D1436" t="s">
        <v>11</v>
      </c>
      <c r="E1436" t="s">
        <v>1498</v>
      </c>
      <c r="F1436" t="s">
        <v>1499</v>
      </c>
      <c r="G1436">
        <v>66</v>
      </c>
      <c r="H1436">
        <v>3</v>
      </c>
      <c r="I1436">
        <v>2</v>
      </c>
      <c r="J1436" t="s">
        <v>1474</v>
      </c>
      <c r="K1436" t="s">
        <v>1475</v>
      </c>
      <c r="L1436">
        <v>1</v>
      </c>
      <c r="M1436" t="s">
        <v>16</v>
      </c>
      <c r="N1436">
        <v>0</v>
      </c>
      <c r="O1436" t="s">
        <v>13</v>
      </c>
      <c r="P1436">
        <v>10</v>
      </c>
      <c r="Q1436" s="4">
        <v>45984</v>
      </c>
      <c r="R1436" s="4"/>
      <c r="S1436" t="str">
        <f>TEXT(Table1[[#This Row],[Hiring Date]],"mmmm")</f>
        <v>November</v>
      </c>
      <c r="T1436" s="1">
        <f>COUNTIF(S:S,Table1[[#This Row],[Months List]])</f>
        <v>0</v>
      </c>
      <c r="U1436" t="str">
        <f>TEXT(Table1[[#This Row],[Hiring Date]],"dddd")</f>
        <v>Sunday</v>
      </c>
      <c r="V1436" s="1" t="str">
        <f>TEXT(Table1[[#This Row],[Hiring Date]],"yyyy")</f>
        <v>2025</v>
      </c>
    </row>
    <row r="1437" spans="1:22">
      <c r="A1437" t="s">
        <v>979</v>
      </c>
      <c r="B1437">
        <v>35</v>
      </c>
      <c r="C1437">
        <v>482</v>
      </c>
      <c r="D1437" t="s">
        <v>14</v>
      </c>
      <c r="E1437" t="s">
        <v>1497</v>
      </c>
      <c r="F1437" t="s">
        <v>1496</v>
      </c>
      <c r="G1437">
        <v>87</v>
      </c>
      <c r="H1437">
        <v>3</v>
      </c>
      <c r="I1437">
        <v>2</v>
      </c>
      <c r="J1437" t="s">
        <v>1476</v>
      </c>
      <c r="K1437" t="s">
        <v>1477</v>
      </c>
      <c r="L1437">
        <v>3</v>
      </c>
      <c r="M1437" t="s">
        <v>12</v>
      </c>
      <c r="N1437">
        <v>1</v>
      </c>
      <c r="O1437" t="s">
        <v>10</v>
      </c>
      <c r="P1437">
        <v>9</v>
      </c>
      <c r="Q1437" s="4">
        <v>45676</v>
      </c>
      <c r="R1437" s="4"/>
      <c r="S1437" t="str">
        <f>TEXT(Table1[[#This Row],[Hiring Date]],"mmmm")</f>
        <v>January</v>
      </c>
      <c r="T1437" s="1">
        <f>COUNTIF(S:S,Table1[[#This Row],[Months List]])</f>
        <v>0</v>
      </c>
      <c r="U1437" t="str">
        <f>TEXT(Table1[[#This Row],[Hiring Date]],"dddd")</f>
        <v>Sunday</v>
      </c>
      <c r="V1437" s="1" t="str">
        <f>TEXT(Table1[[#This Row],[Hiring Date]],"yyyy")</f>
        <v>2025</v>
      </c>
    </row>
    <row r="1438" spans="1:22">
      <c r="A1438" t="s">
        <v>980</v>
      </c>
      <c r="B1438">
        <v>51</v>
      </c>
      <c r="C1438">
        <v>770</v>
      </c>
      <c r="D1438" t="s">
        <v>17</v>
      </c>
      <c r="E1438" t="s">
        <v>1497</v>
      </c>
      <c r="F1438" t="s">
        <v>1496</v>
      </c>
      <c r="G1438">
        <v>84</v>
      </c>
      <c r="H1438">
        <v>3</v>
      </c>
      <c r="I1438">
        <v>4</v>
      </c>
      <c r="J1438" t="s">
        <v>1482</v>
      </c>
      <c r="K1438" t="s">
        <v>1483</v>
      </c>
      <c r="L1438">
        <v>2</v>
      </c>
      <c r="M1438" t="s">
        <v>16</v>
      </c>
      <c r="N1438">
        <v>1</v>
      </c>
      <c r="O1438" t="s">
        <v>10</v>
      </c>
      <c r="P1438">
        <v>33</v>
      </c>
      <c r="Q1438" s="4">
        <v>45966</v>
      </c>
      <c r="R1438" s="4"/>
      <c r="S1438" t="str">
        <f>TEXT(Table1[[#This Row],[Hiring Date]],"mmmm")</f>
        <v>November</v>
      </c>
      <c r="T1438" s="1">
        <f>COUNTIF(S:S,Table1[[#This Row],[Months List]])</f>
        <v>0</v>
      </c>
      <c r="U1438" t="str">
        <f>TEXT(Table1[[#This Row],[Hiring Date]],"dddd")</f>
        <v>Wednesday</v>
      </c>
      <c r="V1438" s="1" t="str">
        <f>TEXT(Table1[[#This Row],[Hiring Date]],"yyyy")</f>
        <v>2025</v>
      </c>
    </row>
    <row r="1439" spans="1:22">
      <c r="A1439" t="s">
        <v>981</v>
      </c>
      <c r="B1439">
        <v>38</v>
      </c>
      <c r="C1439">
        <v>1009</v>
      </c>
      <c r="D1439" t="s">
        <v>11</v>
      </c>
      <c r="E1439" t="s">
        <v>1497</v>
      </c>
      <c r="F1439" t="s">
        <v>1499</v>
      </c>
      <c r="G1439">
        <v>31</v>
      </c>
      <c r="H1439">
        <v>3</v>
      </c>
      <c r="I1439">
        <v>2</v>
      </c>
      <c r="J1439" t="s">
        <v>1474</v>
      </c>
      <c r="K1439" t="s">
        <v>1475</v>
      </c>
      <c r="L1439">
        <v>1</v>
      </c>
      <c r="M1439" t="s">
        <v>16</v>
      </c>
      <c r="N1439">
        <v>3</v>
      </c>
      <c r="O1439" t="s">
        <v>13</v>
      </c>
      <c r="P1439">
        <v>11</v>
      </c>
      <c r="Q1439" s="4">
        <v>45990</v>
      </c>
      <c r="R1439" s="4"/>
      <c r="S1439" t="str">
        <f>TEXT(Table1[[#This Row],[Hiring Date]],"mmmm")</f>
        <v>November</v>
      </c>
      <c r="T1439" s="1">
        <f>COUNTIF(S:S,Table1[[#This Row],[Months List]])</f>
        <v>0</v>
      </c>
      <c r="U1439" t="str">
        <f>TEXT(Table1[[#This Row],[Hiring Date]],"dddd")</f>
        <v>Saturday</v>
      </c>
      <c r="V1439" s="1" t="str">
        <f>TEXT(Table1[[#This Row],[Hiring Date]],"yyyy")</f>
        <v>2025</v>
      </c>
    </row>
    <row r="1440" spans="1:22">
      <c r="A1440" t="s">
        <v>982</v>
      </c>
      <c r="B1440">
        <v>34</v>
      </c>
      <c r="C1440">
        <v>507</v>
      </c>
      <c r="D1440" t="s">
        <v>11</v>
      </c>
      <c r="E1440" t="s">
        <v>1495</v>
      </c>
      <c r="F1440" t="s">
        <v>1499</v>
      </c>
      <c r="G1440">
        <v>66</v>
      </c>
      <c r="H1440">
        <v>3</v>
      </c>
      <c r="I1440">
        <v>2</v>
      </c>
      <c r="J1440" t="s">
        <v>1474</v>
      </c>
      <c r="K1440" t="s">
        <v>1475</v>
      </c>
      <c r="L1440">
        <v>1</v>
      </c>
      <c r="M1440" t="s">
        <v>12</v>
      </c>
      <c r="N1440">
        <v>1</v>
      </c>
      <c r="O1440" t="s">
        <v>13</v>
      </c>
      <c r="P1440">
        <v>10</v>
      </c>
      <c r="Q1440" s="4">
        <v>45875</v>
      </c>
      <c r="R1440" s="4"/>
      <c r="S1440" t="str">
        <f>TEXT(Table1[[#This Row],[Hiring Date]],"mmmm")</f>
        <v>August</v>
      </c>
      <c r="T1440" s="1">
        <f>COUNTIF(S:S,Table1[[#This Row],[Months List]])</f>
        <v>0</v>
      </c>
      <c r="U1440" t="str">
        <f>TEXT(Table1[[#This Row],[Hiring Date]],"dddd")</f>
        <v>Wednesday</v>
      </c>
      <c r="V1440" s="1" t="str">
        <f>TEXT(Table1[[#This Row],[Hiring Date]],"yyyy")</f>
        <v>2025</v>
      </c>
    </row>
    <row r="1441" spans="1:22">
      <c r="A1441" t="s">
        <v>983</v>
      </c>
      <c r="B1441">
        <v>25</v>
      </c>
      <c r="C1441">
        <v>882</v>
      </c>
      <c r="D1441" t="s">
        <v>14</v>
      </c>
      <c r="E1441" t="s">
        <v>1495</v>
      </c>
      <c r="F1441" t="s">
        <v>1496</v>
      </c>
      <c r="G1441">
        <v>67</v>
      </c>
      <c r="H1441">
        <v>3</v>
      </c>
      <c r="I1441">
        <v>1</v>
      </c>
      <c r="J1441" t="s">
        <v>1484</v>
      </c>
      <c r="K1441" t="s">
        <v>1485</v>
      </c>
      <c r="L1441">
        <v>4</v>
      </c>
      <c r="M1441" t="s">
        <v>15</v>
      </c>
      <c r="N1441">
        <v>3</v>
      </c>
      <c r="O1441" t="s">
        <v>13</v>
      </c>
      <c r="P1441">
        <v>7</v>
      </c>
      <c r="Q1441" s="4">
        <v>45883</v>
      </c>
      <c r="R1441" s="4"/>
      <c r="S1441" t="str">
        <f>TEXT(Table1[[#This Row],[Hiring Date]],"mmmm")</f>
        <v>August</v>
      </c>
      <c r="T1441" s="1">
        <f>COUNTIF(S:S,Table1[[#This Row],[Months List]])</f>
        <v>0</v>
      </c>
      <c r="U1441" t="str">
        <f>TEXT(Table1[[#This Row],[Hiring Date]],"dddd")</f>
        <v>Thursday</v>
      </c>
      <c r="V1441" s="1" t="str">
        <f>TEXT(Table1[[#This Row],[Hiring Date]],"yyyy")</f>
        <v>2025</v>
      </c>
    </row>
    <row r="1442" spans="1:22">
      <c r="A1442" t="s">
        <v>984</v>
      </c>
      <c r="B1442">
        <v>58</v>
      </c>
      <c r="C1442">
        <v>601</v>
      </c>
      <c r="D1442" t="s">
        <v>14</v>
      </c>
      <c r="E1442" t="s">
        <v>1495</v>
      </c>
      <c r="F1442" t="s">
        <v>1499</v>
      </c>
      <c r="G1442">
        <v>53</v>
      </c>
      <c r="H1442">
        <v>2</v>
      </c>
      <c r="I1442">
        <v>3</v>
      </c>
      <c r="J1442" t="s">
        <v>1480</v>
      </c>
      <c r="K1442" t="s">
        <v>1481</v>
      </c>
      <c r="L1442">
        <v>1</v>
      </c>
      <c r="M1442" t="s">
        <v>15</v>
      </c>
      <c r="N1442">
        <v>7</v>
      </c>
      <c r="O1442" t="s">
        <v>10</v>
      </c>
      <c r="P1442">
        <v>31</v>
      </c>
      <c r="Q1442" s="4">
        <v>45910</v>
      </c>
      <c r="R1442" s="4"/>
      <c r="S1442" t="str">
        <f>TEXT(Table1[[#This Row],[Hiring Date]],"mmmm")</f>
        <v>September</v>
      </c>
      <c r="T1442" s="1">
        <f>COUNTIF(S:S,Table1[[#This Row],[Months List]])</f>
        <v>0</v>
      </c>
      <c r="U1442" t="str">
        <f>TEXT(Table1[[#This Row],[Hiring Date]],"dddd")</f>
        <v>Wednesday</v>
      </c>
      <c r="V1442" s="1" t="str">
        <f>TEXT(Table1[[#This Row],[Hiring Date]],"yyyy")</f>
        <v>2025</v>
      </c>
    </row>
    <row r="1443" spans="1:22">
      <c r="A1443" t="s">
        <v>985</v>
      </c>
      <c r="B1443">
        <v>40</v>
      </c>
      <c r="C1443">
        <v>329</v>
      </c>
      <c r="D1443" t="s">
        <v>14</v>
      </c>
      <c r="E1443" t="s">
        <v>1497</v>
      </c>
      <c r="F1443" t="s">
        <v>1496</v>
      </c>
      <c r="G1443">
        <v>88</v>
      </c>
      <c r="H1443">
        <v>3</v>
      </c>
      <c r="I1443">
        <v>1</v>
      </c>
      <c r="J1443" t="s">
        <v>1484</v>
      </c>
      <c r="K1443" t="s">
        <v>1485</v>
      </c>
      <c r="L1443">
        <v>2</v>
      </c>
      <c r="M1443" t="s">
        <v>15</v>
      </c>
      <c r="N1443">
        <v>3</v>
      </c>
      <c r="O1443" t="s">
        <v>13</v>
      </c>
      <c r="P1443">
        <v>7</v>
      </c>
      <c r="Q1443" s="4">
        <v>45860</v>
      </c>
      <c r="R1443" s="4"/>
      <c r="S1443" t="str">
        <f>TEXT(Table1[[#This Row],[Hiring Date]],"mmmm")</f>
        <v>July</v>
      </c>
      <c r="T1443" s="1">
        <f>COUNTIF(S:S,Table1[[#This Row],[Months List]])</f>
        <v>0</v>
      </c>
      <c r="U1443" t="str">
        <f>TEXT(Table1[[#This Row],[Hiring Date]],"dddd")</f>
        <v>Tuesday</v>
      </c>
      <c r="V1443" s="1" t="str">
        <f>TEXT(Table1[[#This Row],[Hiring Date]],"yyyy")</f>
        <v>2025</v>
      </c>
    </row>
    <row r="1444" spans="1:22">
      <c r="A1444" t="s">
        <v>986</v>
      </c>
      <c r="B1444">
        <v>36</v>
      </c>
      <c r="C1444">
        <v>607</v>
      </c>
      <c r="D1444" t="s">
        <v>11</v>
      </c>
      <c r="E1444" t="s">
        <v>1498</v>
      </c>
      <c r="F1444" t="s">
        <v>1499</v>
      </c>
      <c r="G1444">
        <v>83</v>
      </c>
      <c r="H1444">
        <v>4</v>
      </c>
      <c r="I1444">
        <v>2</v>
      </c>
      <c r="J1444" t="s">
        <v>1474</v>
      </c>
      <c r="K1444" t="s">
        <v>1475</v>
      </c>
      <c r="L1444">
        <v>1</v>
      </c>
      <c r="M1444" t="s">
        <v>15</v>
      </c>
      <c r="N1444">
        <v>2</v>
      </c>
      <c r="O1444" t="s">
        <v>13</v>
      </c>
      <c r="P1444">
        <v>17</v>
      </c>
      <c r="Q1444" s="4">
        <v>45969</v>
      </c>
      <c r="R1444" s="4"/>
      <c r="S1444" t="str">
        <f>TEXT(Table1[[#This Row],[Hiring Date]],"mmmm")</f>
        <v>November</v>
      </c>
      <c r="T1444" s="1">
        <f>COUNTIF(S:S,Table1[[#This Row],[Months List]])</f>
        <v>0</v>
      </c>
      <c r="U1444" t="str">
        <f>TEXT(Table1[[#This Row],[Hiring Date]],"dddd")</f>
        <v>Saturday</v>
      </c>
      <c r="V1444" s="1" t="str">
        <f>TEXT(Table1[[#This Row],[Hiring Date]],"yyyy")</f>
        <v>2025</v>
      </c>
    </row>
    <row r="1445" spans="1:22">
      <c r="A1445" t="s">
        <v>105</v>
      </c>
      <c r="B1445">
        <v>51</v>
      </c>
      <c r="C1445">
        <v>432</v>
      </c>
      <c r="D1445" t="s">
        <v>14</v>
      </c>
      <c r="E1445" t="s">
        <v>1497</v>
      </c>
      <c r="F1445" t="s">
        <v>1496</v>
      </c>
      <c r="G1445">
        <v>96</v>
      </c>
      <c r="H1445">
        <v>3</v>
      </c>
      <c r="I1445">
        <v>1</v>
      </c>
      <c r="J1445" t="s">
        <v>1484</v>
      </c>
      <c r="K1445" t="s">
        <v>1485</v>
      </c>
      <c r="L1445">
        <v>4</v>
      </c>
      <c r="M1445" t="s">
        <v>15</v>
      </c>
      <c r="N1445">
        <v>3</v>
      </c>
      <c r="O1445" t="s">
        <v>13</v>
      </c>
      <c r="P1445">
        <v>10</v>
      </c>
      <c r="Q1445" s="4">
        <v>45751</v>
      </c>
      <c r="R1445" s="4"/>
      <c r="S1445" t="str">
        <f>TEXT(Table1[[#This Row],[Hiring Date]],"mmmm")</f>
        <v>April</v>
      </c>
      <c r="T1445" s="1">
        <f>COUNTIF(S:S,Table1[[#This Row],[Months List]])</f>
        <v>0</v>
      </c>
      <c r="U1445" t="str">
        <f>TEXT(Table1[[#This Row],[Hiring Date]],"dddd")</f>
        <v>Friday</v>
      </c>
      <c r="V1445" s="1" t="str">
        <f>TEXT(Table1[[#This Row],[Hiring Date]],"yyyy")</f>
        <v>2025</v>
      </c>
    </row>
    <row r="1446" spans="1:22">
      <c r="A1446" t="s">
        <v>987</v>
      </c>
      <c r="B1446">
        <v>48</v>
      </c>
      <c r="C1446">
        <v>855</v>
      </c>
      <c r="D1446" t="s">
        <v>14</v>
      </c>
      <c r="E1446" t="s">
        <v>1497</v>
      </c>
      <c r="F1446" t="s">
        <v>1496</v>
      </c>
      <c r="G1446">
        <v>54</v>
      </c>
      <c r="H1446">
        <v>3</v>
      </c>
      <c r="I1446">
        <v>3</v>
      </c>
      <c r="J1446" t="s">
        <v>1480</v>
      </c>
      <c r="K1446" t="s">
        <v>1481</v>
      </c>
      <c r="L1446">
        <v>4</v>
      </c>
      <c r="M1446" t="s">
        <v>12</v>
      </c>
      <c r="N1446">
        <v>1</v>
      </c>
      <c r="O1446" t="s">
        <v>13</v>
      </c>
      <c r="P1446">
        <v>11</v>
      </c>
      <c r="Q1446" s="4">
        <v>45802</v>
      </c>
      <c r="R1446" s="4"/>
      <c r="S1446" t="str">
        <f>TEXT(Table1[[#This Row],[Hiring Date]],"mmmm")</f>
        <v>May</v>
      </c>
      <c r="T1446" s="1">
        <f>COUNTIF(S:S,Table1[[#This Row],[Months List]])</f>
        <v>0</v>
      </c>
      <c r="U1446" t="str">
        <f>TEXT(Table1[[#This Row],[Hiring Date]],"dddd")</f>
        <v>Sunday</v>
      </c>
      <c r="V1446" s="1" t="str">
        <f>TEXT(Table1[[#This Row],[Hiring Date]],"yyyy")</f>
        <v>2025</v>
      </c>
    </row>
    <row r="1447" spans="1:22">
      <c r="A1447" t="s">
        <v>988</v>
      </c>
      <c r="B1447">
        <v>27</v>
      </c>
      <c r="C1447">
        <v>1291</v>
      </c>
      <c r="D1447" t="s">
        <v>11</v>
      </c>
      <c r="E1447" t="s">
        <v>1495</v>
      </c>
      <c r="F1447" t="s">
        <v>1499</v>
      </c>
      <c r="G1447">
        <v>98</v>
      </c>
      <c r="H1447">
        <v>4</v>
      </c>
      <c r="I1447">
        <v>1</v>
      </c>
      <c r="J1447" t="s">
        <v>1489</v>
      </c>
      <c r="K1447" t="s">
        <v>1490</v>
      </c>
      <c r="L1447">
        <v>4</v>
      </c>
      <c r="M1447" t="s">
        <v>15</v>
      </c>
      <c r="N1447">
        <v>8</v>
      </c>
      <c r="O1447" t="s">
        <v>13</v>
      </c>
      <c r="P1447">
        <v>5</v>
      </c>
      <c r="Q1447" s="4">
        <v>45936</v>
      </c>
      <c r="R1447" s="4"/>
      <c r="S1447" t="str">
        <f>TEXT(Table1[[#This Row],[Hiring Date]],"mmmm")</f>
        <v>October</v>
      </c>
      <c r="T1447" s="1">
        <f>COUNTIF(S:S,Table1[[#This Row],[Months List]])</f>
        <v>0</v>
      </c>
      <c r="U1447" t="str">
        <f>TEXT(Table1[[#This Row],[Hiring Date]],"dddd")</f>
        <v>Monday</v>
      </c>
      <c r="V1447" s="1" t="str">
        <f>TEXT(Table1[[#This Row],[Hiring Date]],"yyyy")</f>
        <v>2025</v>
      </c>
    </row>
    <row r="1448" spans="1:22">
      <c r="A1448" t="s">
        <v>989</v>
      </c>
      <c r="B1448">
        <v>51</v>
      </c>
      <c r="C1448">
        <v>1405</v>
      </c>
      <c r="D1448" t="s">
        <v>14</v>
      </c>
      <c r="E1448" t="s">
        <v>1501</v>
      </c>
      <c r="F1448" t="s">
        <v>1499</v>
      </c>
      <c r="G1448">
        <v>82</v>
      </c>
      <c r="H1448">
        <v>2</v>
      </c>
      <c r="I1448">
        <v>4</v>
      </c>
      <c r="J1448" t="s">
        <v>1480</v>
      </c>
      <c r="K1448" t="s">
        <v>1481</v>
      </c>
      <c r="L1448">
        <v>2</v>
      </c>
      <c r="M1448" t="s">
        <v>12</v>
      </c>
      <c r="N1448">
        <v>3</v>
      </c>
      <c r="O1448" t="s">
        <v>13</v>
      </c>
      <c r="P1448">
        <v>29</v>
      </c>
      <c r="Q1448" s="4">
        <v>45905</v>
      </c>
      <c r="R1448" s="4"/>
      <c r="S1448" t="str">
        <f>TEXT(Table1[[#This Row],[Hiring Date]],"mmmm")</f>
        <v>September</v>
      </c>
      <c r="T1448" s="1">
        <f>COUNTIF(S:S,Table1[[#This Row],[Months List]])</f>
        <v>0</v>
      </c>
      <c r="U1448" t="str">
        <f>TEXT(Table1[[#This Row],[Hiring Date]],"dddd")</f>
        <v>Friday</v>
      </c>
      <c r="V1448" s="1" t="str">
        <f>TEXT(Table1[[#This Row],[Hiring Date]],"yyyy")</f>
        <v>2025</v>
      </c>
    </row>
    <row r="1449" spans="1:22">
      <c r="A1449" t="s">
        <v>990</v>
      </c>
      <c r="B1449">
        <v>18</v>
      </c>
      <c r="C1449">
        <v>1124</v>
      </c>
      <c r="D1449" t="s">
        <v>14</v>
      </c>
      <c r="E1449" t="s">
        <v>1497</v>
      </c>
      <c r="F1449" t="s">
        <v>1499</v>
      </c>
      <c r="G1449">
        <v>97</v>
      </c>
      <c r="H1449">
        <v>3</v>
      </c>
      <c r="I1449">
        <v>1</v>
      </c>
      <c r="J1449" t="s">
        <v>1484</v>
      </c>
      <c r="K1449" t="s">
        <v>1485</v>
      </c>
      <c r="L1449">
        <v>4</v>
      </c>
      <c r="M1449" t="s">
        <v>12</v>
      </c>
      <c r="N1449">
        <v>1</v>
      </c>
      <c r="O1449" t="s">
        <v>13</v>
      </c>
      <c r="P1449">
        <v>0</v>
      </c>
      <c r="Q1449" s="4">
        <v>45799</v>
      </c>
      <c r="R1449" s="4"/>
      <c r="S1449" t="str">
        <f>TEXT(Table1[[#This Row],[Hiring Date]],"mmmm")</f>
        <v>May</v>
      </c>
      <c r="T1449" s="1">
        <f>COUNTIF(S:S,Table1[[#This Row],[Months List]])</f>
        <v>0</v>
      </c>
      <c r="U1449" t="str">
        <f>TEXT(Table1[[#This Row],[Hiring Date]],"dddd")</f>
        <v>Thursday</v>
      </c>
      <c r="V1449" s="1" t="str">
        <f>TEXT(Table1[[#This Row],[Hiring Date]],"yyyy")</f>
        <v>2025</v>
      </c>
    </row>
    <row r="1450" spans="1:22">
      <c r="A1450" t="s">
        <v>991</v>
      </c>
      <c r="B1450">
        <v>35</v>
      </c>
      <c r="C1450">
        <v>817</v>
      </c>
      <c r="D1450" t="s">
        <v>14</v>
      </c>
      <c r="E1450" t="s">
        <v>1495</v>
      </c>
      <c r="F1450" t="s">
        <v>1499</v>
      </c>
      <c r="G1450">
        <v>60</v>
      </c>
      <c r="H1450">
        <v>2</v>
      </c>
      <c r="I1450">
        <v>2</v>
      </c>
      <c r="J1450" t="s">
        <v>1484</v>
      </c>
      <c r="K1450" t="s">
        <v>1485</v>
      </c>
      <c r="L1450">
        <v>4</v>
      </c>
      <c r="M1450" t="s">
        <v>15</v>
      </c>
      <c r="N1450">
        <v>0</v>
      </c>
      <c r="O1450" t="s">
        <v>13</v>
      </c>
      <c r="P1450">
        <v>10</v>
      </c>
      <c r="Q1450" s="4">
        <v>45840</v>
      </c>
      <c r="R1450" s="4"/>
      <c r="S1450" t="str">
        <f>TEXT(Table1[[#This Row],[Hiring Date]],"mmmm")</f>
        <v>July</v>
      </c>
      <c r="T1450" s="1">
        <f>COUNTIF(S:S,Table1[[#This Row],[Months List]])</f>
        <v>0</v>
      </c>
      <c r="U1450" t="str">
        <f>TEXT(Table1[[#This Row],[Hiring Date]],"dddd")</f>
        <v>Wednesday</v>
      </c>
      <c r="V1450" s="1" t="str">
        <f>TEXT(Table1[[#This Row],[Hiring Date]],"yyyy")</f>
        <v>2025</v>
      </c>
    </row>
    <row r="1451" spans="1:22">
      <c r="A1451" t="s">
        <v>992</v>
      </c>
      <c r="B1451">
        <v>27</v>
      </c>
      <c r="C1451">
        <v>793</v>
      </c>
      <c r="D1451" t="s">
        <v>11</v>
      </c>
      <c r="E1451" t="s">
        <v>1497</v>
      </c>
      <c r="F1451" t="s">
        <v>1496</v>
      </c>
      <c r="G1451">
        <v>43</v>
      </c>
      <c r="H1451">
        <v>1</v>
      </c>
      <c r="I1451">
        <v>2</v>
      </c>
      <c r="J1451" t="s">
        <v>1474</v>
      </c>
      <c r="K1451" t="s">
        <v>1475</v>
      </c>
      <c r="L1451">
        <v>4</v>
      </c>
      <c r="M1451" t="s">
        <v>12</v>
      </c>
      <c r="N1451">
        <v>3</v>
      </c>
      <c r="O1451" t="s">
        <v>13</v>
      </c>
      <c r="P1451">
        <v>8</v>
      </c>
      <c r="Q1451" s="4">
        <v>45877</v>
      </c>
      <c r="R1451" s="4"/>
      <c r="S1451" t="str">
        <f>TEXT(Table1[[#This Row],[Hiring Date]],"mmmm")</f>
        <v>August</v>
      </c>
      <c r="T1451" s="1">
        <f>COUNTIF(S:S,Table1[[#This Row],[Months List]])</f>
        <v>0</v>
      </c>
      <c r="U1451" t="str">
        <f>TEXT(Table1[[#This Row],[Hiring Date]],"dddd")</f>
        <v>Friday</v>
      </c>
      <c r="V1451" s="1" t="str">
        <f>TEXT(Table1[[#This Row],[Hiring Date]],"yyyy")</f>
        <v>2025</v>
      </c>
    </row>
    <row r="1452" spans="1:22">
      <c r="A1452" t="s">
        <v>993</v>
      </c>
      <c r="B1452">
        <v>55</v>
      </c>
      <c r="C1452">
        <v>267</v>
      </c>
      <c r="D1452" t="s">
        <v>11</v>
      </c>
      <c r="E1452" t="s">
        <v>1498</v>
      </c>
      <c r="F1452" t="s">
        <v>1496</v>
      </c>
      <c r="G1452">
        <v>85</v>
      </c>
      <c r="H1452">
        <v>4</v>
      </c>
      <c r="I1452">
        <v>4</v>
      </c>
      <c r="J1452" t="s">
        <v>1474</v>
      </c>
      <c r="K1452" t="s">
        <v>1475</v>
      </c>
      <c r="L1452">
        <v>3</v>
      </c>
      <c r="M1452" t="s">
        <v>12</v>
      </c>
      <c r="N1452">
        <v>6</v>
      </c>
      <c r="O1452" t="s">
        <v>10</v>
      </c>
      <c r="P1452">
        <v>24</v>
      </c>
      <c r="Q1452" s="4">
        <v>45739</v>
      </c>
      <c r="R1452" s="4"/>
      <c r="S1452" t="str">
        <f>TEXT(Table1[[#This Row],[Hiring Date]],"mmmm")</f>
        <v>March</v>
      </c>
      <c r="T1452" s="1">
        <f>COUNTIF(S:S,Table1[[#This Row],[Months List]])</f>
        <v>0</v>
      </c>
      <c r="U1452" t="str">
        <f>TEXT(Table1[[#This Row],[Hiring Date]],"dddd")</f>
        <v>Sunday</v>
      </c>
      <c r="V1452" s="1" t="str">
        <f>TEXT(Table1[[#This Row],[Hiring Date]],"yyyy")</f>
        <v>2025</v>
      </c>
    </row>
    <row r="1453" spans="1:22">
      <c r="A1453" t="s">
        <v>994</v>
      </c>
      <c r="B1453">
        <v>56</v>
      </c>
      <c r="C1453">
        <v>1369</v>
      </c>
      <c r="D1453" t="s">
        <v>14</v>
      </c>
      <c r="E1453" t="s">
        <v>1497</v>
      </c>
      <c r="F1453" t="s">
        <v>1496</v>
      </c>
      <c r="G1453">
        <v>68</v>
      </c>
      <c r="H1453">
        <v>3</v>
      </c>
      <c r="I1453">
        <v>4</v>
      </c>
      <c r="J1453" t="s">
        <v>1480</v>
      </c>
      <c r="K1453" t="s">
        <v>1481</v>
      </c>
      <c r="L1453">
        <v>2</v>
      </c>
      <c r="M1453" t="s">
        <v>15</v>
      </c>
      <c r="N1453">
        <v>4</v>
      </c>
      <c r="O1453" t="s">
        <v>10</v>
      </c>
      <c r="P1453">
        <v>33</v>
      </c>
      <c r="Q1453" s="4">
        <v>45883</v>
      </c>
      <c r="R1453" s="4"/>
      <c r="S1453" t="str">
        <f>TEXT(Table1[[#This Row],[Hiring Date]],"mmmm")</f>
        <v>August</v>
      </c>
      <c r="T1453" s="1">
        <f>COUNTIF(S:S,Table1[[#This Row],[Months List]])</f>
        <v>0</v>
      </c>
      <c r="U1453" t="str">
        <f>TEXT(Table1[[#This Row],[Hiring Date]],"dddd")</f>
        <v>Thursday</v>
      </c>
      <c r="V1453" s="1" t="str">
        <f>TEXT(Table1[[#This Row],[Hiring Date]],"yyyy")</f>
        <v>2025</v>
      </c>
    </row>
    <row r="1454" spans="1:22">
      <c r="A1454" t="s">
        <v>995</v>
      </c>
      <c r="B1454">
        <v>34</v>
      </c>
      <c r="C1454">
        <v>999</v>
      </c>
      <c r="D1454" t="s">
        <v>14</v>
      </c>
      <c r="E1454" t="s">
        <v>1501</v>
      </c>
      <c r="F1454" t="s">
        <v>1499</v>
      </c>
      <c r="G1454">
        <v>92</v>
      </c>
      <c r="H1454">
        <v>2</v>
      </c>
      <c r="I1454">
        <v>1</v>
      </c>
      <c r="J1454" t="s">
        <v>1476</v>
      </c>
      <c r="K1454" t="s">
        <v>1477</v>
      </c>
      <c r="L1454">
        <v>3</v>
      </c>
      <c r="M1454" t="s">
        <v>16</v>
      </c>
      <c r="N1454">
        <v>1</v>
      </c>
      <c r="O1454" t="s">
        <v>13</v>
      </c>
      <c r="P1454">
        <v>5</v>
      </c>
      <c r="Q1454" s="4">
        <v>45968</v>
      </c>
      <c r="R1454" s="4"/>
      <c r="S1454" t="str">
        <f>TEXT(Table1[[#This Row],[Hiring Date]],"mmmm")</f>
        <v>November</v>
      </c>
      <c r="T1454" s="1">
        <f>COUNTIF(S:S,Table1[[#This Row],[Months List]])</f>
        <v>0</v>
      </c>
      <c r="U1454" t="str">
        <f>TEXT(Table1[[#This Row],[Hiring Date]],"dddd")</f>
        <v>Friday</v>
      </c>
      <c r="V1454" s="1" t="str">
        <f>TEXT(Table1[[#This Row],[Hiring Date]],"yyyy")</f>
        <v>2025</v>
      </c>
    </row>
    <row r="1455" spans="1:22">
      <c r="A1455" t="s">
        <v>996</v>
      </c>
      <c r="B1455">
        <v>40</v>
      </c>
      <c r="C1455">
        <v>1202</v>
      </c>
      <c r="D1455" t="s">
        <v>14</v>
      </c>
      <c r="E1455" t="s">
        <v>1495</v>
      </c>
      <c r="F1455" t="s">
        <v>1499</v>
      </c>
      <c r="G1455">
        <v>89</v>
      </c>
      <c r="H1455">
        <v>4</v>
      </c>
      <c r="I1455">
        <v>2</v>
      </c>
      <c r="J1455" t="s">
        <v>1478</v>
      </c>
      <c r="K1455" t="s">
        <v>1479</v>
      </c>
      <c r="L1455">
        <v>3</v>
      </c>
      <c r="M1455" t="s">
        <v>16</v>
      </c>
      <c r="N1455">
        <v>5</v>
      </c>
      <c r="O1455" t="s">
        <v>13</v>
      </c>
      <c r="P1455">
        <v>15</v>
      </c>
      <c r="Q1455" s="4">
        <v>45873</v>
      </c>
      <c r="R1455" s="4"/>
      <c r="S1455" t="str">
        <f>TEXT(Table1[[#This Row],[Hiring Date]],"mmmm")</f>
        <v>August</v>
      </c>
      <c r="T1455" s="1">
        <f>COUNTIF(S:S,Table1[[#This Row],[Months List]])</f>
        <v>0</v>
      </c>
      <c r="U1455" t="str">
        <f>TEXT(Table1[[#This Row],[Hiring Date]],"dddd")</f>
        <v>Monday</v>
      </c>
      <c r="V1455" s="1" t="str">
        <f>TEXT(Table1[[#This Row],[Hiring Date]],"yyyy")</f>
        <v>2025</v>
      </c>
    </row>
    <row r="1456" spans="1:22">
      <c r="A1456" t="s">
        <v>106</v>
      </c>
      <c r="B1456">
        <v>30</v>
      </c>
      <c r="C1456">
        <v>288</v>
      </c>
      <c r="D1456" t="s">
        <v>14</v>
      </c>
      <c r="E1456" t="s">
        <v>1497</v>
      </c>
      <c r="F1456" t="s">
        <v>1496</v>
      </c>
      <c r="G1456">
        <v>99</v>
      </c>
      <c r="H1456">
        <v>2</v>
      </c>
      <c r="I1456">
        <v>2</v>
      </c>
      <c r="J1456" t="s">
        <v>1478</v>
      </c>
      <c r="K1456" t="s">
        <v>1479</v>
      </c>
      <c r="L1456">
        <v>4</v>
      </c>
      <c r="M1456" t="s">
        <v>15</v>
      </c>
      <c r="N1456">
        <v>1</v>
      </c>
      <c r="O1456" t="s">
        <v>13</v>
      </c>
      <c r="P1456">
        <v>11</v>
      </c>
      <c r="Q1456" s="4">
        <v>45750</v>
      </c>
      <c r="R1456" s="4"/>
      <c r="S1456" t="str">
        <f>TEXT(Table1[[#This Row],[Hiring Date]],"mmmm")</f>
        <v>April</v>
      </c>
      <c r="T1456" s="1">
        <f>COUNTIF(S:S,Table1[[#This Row],[Months List]])</f>
        <v>0</v>
      </c>
      <c r="U1456" t="str">
        <f>TEXT(Table1[[#This Row],[Hiring Date]],"dddd")</f>
        <v>Thursday</v>
      </c>
      <c r="V1456" s="1" t="str">
        <f>TEXT(Table1[[#This Row],[Hiring Date]],"yyyy")</f>
        <v>2025</v>
      </c>
    </row>
    <row r="1457" spans="1:22">
      <c r="A1457" t="s">
        <v>997</v>
      </c>
      <c r="B1457">
        <v>34</v>
      </c>
      <c r="C1457">
        <v>285</v>
      </c>
      <c r="D1457" t="s">
        <v>14</v>
      </c>
      <c r="E1457" t="s">
        <v>1495</v>
      </c>
      <c r="F1457" t="s">
        <v>1496</v>
      </c>
      <c r="G1457">
        <v>86</v>
      </c>
      <c r="H1457">
        <v>3</v>
      </c>
      <c r="I1457">
        <v>2</v>
      </c>
      <c r="J1457" t="s">
        <v>1484</v>
      </c>
      <c r="K1457" t="s">
        <v>1485</v>
      </c>
      <c r="L1457">
        <v>3</v>
      </c>
      <c r="M1457" t="s">
        <v>15</v>
      </c>
      <c r="N1457">
        <v>4</v>
      </c>
      <c r="O1457" t="s">
        <v>13</v>
      </c>
      <c r="P1457">
        <v>10</v>
      </c>
      <c r="Q1457" s="4">
        <v>45940</v>
      </c>
      <c r="R1457" s="4"/>
      <c r="S1457" t="str">
        <f>TEXT(Table1[[#This Row],[Hiring Date]],"mmmm")</f>
        <v>October</v>
      </c>
      <c r="T1457" s="1">
        <f>COUNTIF(S:S,Table1[[#This Row],[Months List]])</f>
        <v>0</v>
      </c>
      <c r="U1457" t="str">
        <f>TEXT(Table1[[#This Row],[Hiring Date]],"dddd")</f>
        <v>Friday</v>
      </c>
      <c r="V1457" s="1" t="str">
        <f>TEXT(Table1[[#This Row],[Hiring Date]],"yyyy")</f>
        <v>2025</v>
      </c>
    </row>
    <row r="1458" spans="1:22">
      <c r="A1458" t="s">
        <v>998</v>
      </c>
      <c r="B1458">
        <v>31</v>
      </c>
      <c r="C1458">
        <v>703</v>
      </c>
      <c r="D1458" t="s">
        <v>11</v>
      </c>
      <c r="E1458" t="s">
        <v>1497</v>
      </c>
      <c r="F1458" t="s">
        <v>1499</v>
      </c>
      <c r="G1458">
        <v>90</v>
      </c>
      <c r="H1458">
        <v>2</v>
      </c>
      <c r="I1458">
        <v>1</v>
      </c>
      <c r="J1458" t="s">
        <v>1489</v>
      </c>
      <c r="K1458" t="s">
        <v>1490</v>
      </c>
      <c r="L1458">
        <v>4</v>
      </c>
      <c r="M1458" t="s">
        <v>12</v>
      </c>
      <c r="N1458">
        <v>7</v>
      </c>
      <c r="O1458" t="s">
        <v>13</v>
      </c>
      <c r="P1458">
        <v>3</v>
      </c>
      <c r="Q1458" s="4">
        <v>45750</v>
      </c>
      <c r="R1458" s="4"/>
      <c r="S1458" t="str">
        <f>TEXT(Table1[[#This Row],[Hiring Date]],"mmmm")</f>
        <v>April</v>
      </c>
      <c r="T1458" s="1">
        <f>COUNTIF(S:S,Table1[[#This Row],[Months List]])</f>
        <v>0</v>
      </c>
      <c r="U1458" t="str">
        <f>TEXT(Table1[[#This Row],[Hiring Date]],"dddd")</f>
        <v>Thursday</v>
      </c>
      <c r="V1458" s="1" t="str">
        <f>TEXT(Table1[[#This Row],[Hiring Date]],"yyyy")</f>
        <v>2025</v>
      </c>
    </row>
    <row r="1459" spans="1:22">
      <c r="A1459" t="s">
        <v>999</v>
      </c>
      <c r="B1459">
        <v>35</v>
      </c>
      <c r="C1459">
        <v>662</v>
      </c>
      <c r="D1459" t="s">
        <v>11</v>
      </c>
      <c r="E1459" t="s">
        <v>1498</v>
      </c>
      <c r="F1459" t="s">
        <v>1499</v>
      </c>
      <c r="G1459">
        <v>67</v>
      </c>
      <c r="H1459">
        <v>3</v>
      </c>
      <c r="I1459">
        <v>2</v>
      </c>
      <c r="J1459" t="s">
        <v>1474</v>
      </c>
      <c r="K1459" t="s">
        <v>1475</v>
      </c>
      <c r="L1459">
        <v>3</v>
      </c>
      <c r="M1459" t="s">
        <v>15</v>
      </c>
      <c r="N1459">
        <v>0</v>
      </c>
      <c r="O1459" t="s">
        <v>10</v>
      </c>
      <c r="P1459">
        <v>5</v>
      </c>
      <c r="Q1459" s="4">
        <v>45708</v>
      </c>
      <c r="R1459" s="4"/>
      <c r="S1459" t="str">
        <f>TEXT(Table1[[#This Row],[Hiring Date]],"mmmm")</f>
        <v>February</v>
      </c>
      <c r="T1459" s="1">
        <f>COUNTIF(S:S,Table1[[#This Row],[Months List]])</f>
        <v>0</v>
      </c>
      <c r="U1459" t="str">
        <f>TEXT(Table1[[#This Row],[Hiring Date]],"dddd")</f>
        <v>Thursday</v>
      </c>
      <c r="V1459" s="1" t="str">
        <f>TEXT(Table1[[#This Row],[Hiring Date]],"yyyy")</f>
        <v>2025</v>
      </c>
    </row>
    <row r="1460" spans="1:22">
      <c r="A1460" t="s">
        <v>1000</v>
      </c>
      <c r="B1460">
        <v>38</v>
      </c>
      <c r="C1460">
        <v>693</v>
      </c>
      <c r="D1460" t="s">
        <v>14</v>
      </c>
      <c r="E1460" t="s">
        <v>1497</v>
      </c>
      <c r="F1460" t="s">
        <v>1496</v>
      </c>
      <c r="G1460">
        <v>57</v>
      </c>
      <c r="H1460">
        <v>4</v>
      </c>
      <c r="I1460">
        <v>1</v>
      </c>
      <c r="J1460" t="s">
        <v>1476</v>
      </c>
      <c r="K1460" t="s">
        <v>1477</v>
      </c>
      <c r="L1460">
        <v>3</v>
      </c>
      <c r="M1460" t="s">
        <v>16</v>
      </c>
      <c r="N1460">
        <v>1</v>
      </c>
      <c r="O1460" t="s">
        <v>13</v>
      </c>
      <c r="P1460">
        <v>4</v>
      </c>
      <c r="Q1460" s="4">
        <v>45641</v>
      </c>
      <c r="R1460" s="4"/>
      <c r="S1460" t="str">
        <f>TEXT(Table1[[#This Row],[Hiring Date]],"mmmm")</f>
        <v>December</v>
      </c>
      <c r="T1460" s="1">
        <f>COUNTIF(S:S,Table1[[#This Row],[Months List]])</f>
        <v>0</v>
      </c>
      <c r="U1460" t="str">
        <f>TEXT(Table1[[#This Row],[Hiring Date]],"dddd")</f>
        <v>Sunday</v>
      </c>
      <c r="V1460" s="1" t="str">
        <f>TEXT(Table1[[#This Row],[Hiring Date]],"yyyy")</f>
        <v>2024</v>
      </c>
    </row>
    <row r="1461" spans="1:22">
      <c r="A1461" t="s">
        <v>1001</v>
      </c>
      <c r="B1461">
        <v>34</v>
      </c>
      <c r="C1461">
        <v>404</v>
      </c>
      <c r="D1461" t="s">
        <v>14</v>
      </c>
      <c r="E1461" t="s">
        <v>1501</v>
      </c>
      <c r="F1461" t="s">
        <v>1499</v>
      </c>
      <c r="G1461">
        <v>98</v>
      </c>
      <c r="H1461">
        <v>3</v>
      </c>
      <c r="I1461">
        <v>2</v>
      </c>
      <c r="J1461" t="s">
        <v>1478</v>
      </c>
      <c r="K1461" t="s">
        <v>1479</v>
      </c>
      <c r="L1461">
        <v>4</v>
      </c>
      <c r="M1461" t="s">
        <v>12</v>
      </c>
      <c r="N1461">
        <v>1</v>
      </c>
      <c r="O1461" t="s">
        <v>13</v>
      </c>
      <c r="P1461">
        <v>14</v>
      </c>
      <c r="Q1461" s="4">
        <v>45648</v>
      </c>
      <c r="R1461" s="4"/>
      <c r="S1461" t="str">
        <f>TEXT(Table1[[#This Row],[Hiring Date]],"mmmm")</f>
        <v>December</v>
      </c>
      <c r="T1461" s="1">
        <f>COUNTIF(S:S,Table1[[#This Row],[Months List]])</f>
        <v>0</v>
      </c>
      <c r="U1461" t="str">
        <f>TEXT(Table1[[#This Row],[Hiring Date]],"dddd")</f>
        <v>Sunday</v>
      </c>
      <c r="V1461" s="1" t="str">
        <f>TEXT(Table1[[#This Row],[Hiring Date]],"yyyy")</f>
        <v>2024</v>
      </c>
    </row>
    <row r="1462" spans="1:22">
      <c r="A1462" t="s">
        <v>1002</v>
      </c>
      <c r="B1462">
        <v>28</v>
      </c>
      <c r="C1462">
        <v>736</v>
      </c>
      <c r="D1462" t="s">
        <v>11</v>
      </c>
      <c r="E1462" t="s">
        <v>1497</v>
      </c>
      <c r="F1462" t="s">
        <v>1496</v>
      </c>
      <c r="G1462">
        <v>48</v>
      </c>
      <c r="H1462">
        <v>2</v>
      </c>
      <c r="I1462">
        <v>2</v>
      </c>
      <c r="J1462" t="s">
        <v>1474</v>
      </c>
      <c r="K1462" t="s">
        <v>1475</v>
      </c>
      <c r="L1462">
        <v>1</v>
      </c>
      <c r="M1462" t="s">
        <v>15</v>
      </c>
      <c r="N1462">
        <v>1</v>
      </c>
      <c r="O1462" t="s">
        <v>13</v>
      </c>
      <c r="P1462">
        <v>5</v>
      </c>
      <c r="Q1462" s="4">
        <v>45778</v>
      </c>
      <c r="R1462" s="4"/>
      <c r="S1462" t="str">
        <f>TEXT(Table1[[#This Row],[Hiring Date]],"mmmm")</f>
        <v>May</v>
      </c>
      <c r="T1462" s="1">
        <f>COUNTIF(S:S,Table1[[#This Row],[Months List]])</f>
        <v>0</v>
      </c>
      <c r="U1462" t="str">
        <f>TEXT(Table1[[#This Row],[Hiring Date]],"dddd")</f>
        <v>Thursday</v>
      </c>
      <c r="V1462" s="1" t="str">
        <f>TEXT(Table1[[#This Row],[Hiring Date]],"yyyy")</f>
        <v>2025</v>
      </c>
    </row>
    <row r="1463" spans="1:22">
      <c r="A1463" t="s">
        <v>1003</v>
      </c>
      <c r="B1463">
        <v>31</v>
      </c>
      <c r="C1463">
        <v>330</v>
      </c>
      <c r="D1463" t="s">
        <v>14</v>
      </c>
      <c r="E1463" t="s">
        <v>1495</v>
      </c>
      <c r="F1463" t="s">
        <v>1496</v>
      </c>
      <c r="G1463">
        <v>98</v>
      </c>
      <c r="H1463">
        <v>3</v>
      </c>
      <c r="I1463">
        <v>2</v>
      </c>
      <c r="J1463" t="s">
        <v>1480</v>
      </c>
      <c r="K1463" t="s">
        <v>1481</v>
      </c>
      <c r="L1463">
        <v>3</v>
      </c>
      <c r="M1463" t="s">
        <v>15</v>
      </c>
      <c r="N1463">
        <v>1</v>
      </c>
      <c r="O1463" t="s">
        <v>10</v>
      </c>
      <c r="P1463">
        <v>10</v>
      </c>
      <c r="Q1463" s="4">
        <v>45837</v>
      </c>
      <c r="R1463" s="4"/>
      <c r="S1463" t="str">
        <f>TEXT(Table1[[#This Row],[Hiring Date]],"mmmm")</f>
        <v>June</v>
      </c>
      <c r="T1463" s="1">
        <f>COUNTIF(S:S,Table1[[#This Row],[Months List]])</f>
        <v>0</v>
      </c>
      <c r="U1463" t="str">
        <f>TEXT(Table1[[#This Row],[Hiring Date]],"dddd")</f>
        <v>Sunday</v>
      </c>
      <c r="V1463" s="1" t="str">
        <f>TEXT(Table1[[#This Row],[Hiring Date]],"yyyy")</f>
        <v>2025</v>
      </c>
    </row>
    <row r="1464" spans="1:22">
      <c r="A1464" t="s">
        <v>1004</v>
      </c>
      <c r="B1464">
        <v>39</v>
      </c>
      <c r="C1464">
        <v>1498</v>
      </c>
      <c r="D1464" t="s">
        <v>11</v>
      </c>
      <c r="E1464" t="s">
        <v>1497</v>
      </c>
      <c r="F1464" t="s">
        <v>1496</v>
      </c>
      <c r="G1464">
        <v>44</v>
      </c>
      <c r="H1464">
        <v>2</v>
      </c>
      <c r="I1464">
        <v>2</v>
      </c>
      <c r="J1464" t="s">
        <v>1474</v>
      </c>
      <c r="K1464" t="s">
        <v>1475</v>
      </c>
      <c r="L1464">
        <v>4</v>
      </c>
      <c r="M1464" t="s">
        <v>15</v>
      </c>
      <c r="N1464">
        <v>3</v>
      </c>
      <c r="O1464" t="s">
        <v>10</v>
      </c>
      <c r="P1464">
        <v>8</v>
      </c>
      <c r="Q1464" s="4">
        <v>45930</v>
      </c>
      <c r="R1464" s="4"/>
      <c r="S1464" t="str">
        <f>TEXT(Table1[[#This Row],[Hiring Date]],"mmmm")</f>
        <v>September</v>
      </c>
      <c r="T1464" s="1">
        <f>COUNTIF(S:S,Table1[[#This Row],[Months List]])</f>
        <v>0</v>
      </c>
      <c r="U1464" t="str">
        <f>TEXT(Table1[[#This Row],[Hiring Date]],"dddd")</f>
        <v>Tuesday</v>
      </c>
      <c r="V1464" s="1" t="str">
        <f>TEXT(Table1[[#This Row],[Hiring Date]],"yyyy")</f>
        <v>2025</v>
      </c>
    </row>
    <row r="1465" spans="1:22">
      <c r="A1465" t="s">
        <v>1005</v>
      </c>
      <c r="B1465">
        <v>51</v>
      </c>
      <c r="C1465">
        <v>541</v>
      </c>
      <c r="D1465" t="s">
        <v>11</v>
      </c>
      <c r="E1465" t="s">
        <v>1498</v>
      </c>
      <c r="F1465" t="s">
        <v>1496</v>
      </c>
      <c r="G1465">
        <v>52</v>
      </c>
      <c r="H1465">
        <v>3</v>
      </c>
      <c r="I1465">
        <v>3</v>
      </c>
      <c r="J1465" t="s">
        <v>1474</v>
      </c>
      <c r="K1465" t="s">
        <v>1475</v>
      </c>
      <c r="L1465">
        <v>2</v>
      </c>
      <c r="M1465" t="s">
        <v>15</v>
      </c>
      <c r="N1465">
        <v>2</v>
      </c>
      <c r="O1465" t="s">
        <v>13</v>
      </c>
      <c r="P1465">
        <v>14</v>
      </c>
      <c r="Q1465" s="4">
        <v>45668</v>
      </c>
      <c r="R1465" s="4"/>
      <c r="S1465" t="str">
        <f>TEXT(Table1[[#This Row],[Hiring Date]],"mmmm")</f>
        <v>January</v>
      </c>
      <c r="T1465" s="1">
        <f>COUNTIF(S:S,Table1[[#This Row],[Months List]])</f>
        <v>0</v>
      </c>
      <c r="U1465" t="str">
        <f>TEXT(Table1[[#This Row],[Hiring Date]],"dddd")</f>
        <v>Saturday</v>
      </c>
      <c r="V1465" s="1" t="str">
        <f>TEXT(Table1[[#This Row],[Hiring Date]],"yyyy")</f>
        <v>2025</v>
      </c>
    </row>
    <row r="1466" spans="1:22">
      <c r="A1466" t="s">
        <v>1006</v>
      </c>
      <c r="B1466">
        <v>41</v>
      </c>
      <c r="C1466">
        <v>1200</v>
      </c>
      <c r="D1466" t="s">
        <v>14</v>
      </c>
      <c r="E1466" t="s">
        <v>1497</v>
      </c>
      <c r="F1466" t="s">
        <v>1499</v>
      </c>
      <c r="G1466">
        <v>75</v>
      </c>
      <c r="H1466">
        <v>3</v>
      </c>
      <c r="I1466">
        <v>2</v>
      </c>
      <c r="J1466" t="s">
        <v>1476</v>
      </c>
      <c r="K1466" t="s">
        <v>1477</v>
      </c>
      <c r="L1466">
        <v>4</v>
      </c>
      <c r="M1466" t="s">
        <v>16</v>
      </c>
      <c r="N1466">
        <v>3</v>
      </c>
      <c r="O1466" t="s">
        <v>10</v>
      </c>
      <c r="P1466">
        <v>12</v>
      </c>
      <c r="Q1466" s="4">
        <v>45811</v>
      </c>
      <c r="R1466" s="4"/>
      <c r="S1466" t="str">
        <f>TEXT(Table1[[#This Row],[Hiring Date]],"mmmm")</f>
        <v>June</v>
      </c>
      <c r="T1466" s="1">
        <f>COUNTIF(S:S,Table1[[#This Row],[Months List]])</f>
        <v>0</v>
      </c>
      <c r="U1466" t="str">
        <f>TEXT(Table1[[#This Row],[Hiring Date]],"dddd")</f>
        <v>Tuesday</v>
      </c>
      <c r="V1466" s="1" t="str">
        <f>TEXT(Table1[[#This Row],[Hiring Date]],"yyyy")</f>
        <v>2025</v>
      </c>
    </row>
  </sheetData>
  <conditionalFormatting sqref="A1:R1">
    <cfRule type="duplicateValues" dxfId="1" priority="1"/>
  </conditionalFormatting>
  <conditionalFormatting sqref="A2:A1466">
    <cfRule type="duplicateValues" dxfId="0" priority="4"/>
  </conditionalFormatting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D13" sqref="D13"/>
    </sheetView>
  </sheetViews>
  <sheetFormatPr defaultRowHeight="14.25"/>
  <cols>
    <col min="1" max="1" width="13.125" bestFit="1" customWidth="1"/>
    <col min="2" max="2" width="14.75" bestFit="1" customWidth="1"/>
  </cols>
  <sheetData>
    <row r="3" spans="1:2">
      <c r="A3" s="16" t="s">
        <v>1524</v>
      </c>
      <c r="B3" t="s">
        <v>1527</v>
      </c>
    </row>
    <row r="4" spans="1:2">
      <c r="A4" s="17" t="s">
        <v>1509</v>
      </c>
      <c r="B4" s="1">
        <v>110</v>
      </c>
    </row>
    <row r="5" spans="1:2">
      <c r="A5" s="17" t="s">
        <v>1510</v>
      </c>
      <c r="B5" s="1">
        <v>99</v>
      </c>
    </row>
    <row r="6" spans="1:2">
      <c r="A6" s="17" t="s">
        <v>1511</v>
      </c>
      <c r="B6" s="1">
        <v>123</v>
      </c>
    </row>
    <row r="7" spans="1:2">
      <c r="A7" s="17" t="s">
        <v>1512</v>
      </c>
      <c r="B7" s="1">
        <v>129</v>
      </c>
    </row>
    <row r="8" spans="1:2">
      <c r="A8" s="17" t="s">
        <v>1513</v>
      </c>
      <c r="B8" s="1">
        <v>119</v>
      </c>
    </row>
    <row r="9" spans="1:2">
      <c r="A9" s="17" t="s">
        <v>1514</v>
      </c>
      <c r="B9" s="1">
        <v>140</v>
      </c>
    </row>
    <row r="10" spans="1:2">
      <c r="A10" s="17" t="s">
        <v>1515</v>
      </c>
      <c r="B10" s="1">
        <v>113</v>
      </c>
    </row>
    <row r="11" spans="1:2">
      <c r="A11" s="17" t="s">
        <v>1516</v>
      </c>
      <c r="B11" s="1">
        <v>143</v>
      </c>
    </row>
    <row r="12" spans="1:2">
      <c r="A12" s="17" t="s">
        <v>1517</v>
      </c>
      <c r="B12" s="1">
        <v>125</v>
      </c>
    </row>
    <row r="13" spans="1:2">
      <c r="A13" s="17" t="s">
        <v>1518</v>
      </c>
      <c r="B13" s="1">
        <v>127</v>
      </c>
    </row>
    <row r="14" spans="1:2">
      <c r="A14" s="17" t="s">
        <v>1519</v>
      </c>
      <c r="B14" s="1">
        <v>124</v>
      </c>
    </row>
    <row r="15" spans="1:2">
      <c r="A15" s="17" t="s">
        <v>1520</v>
      </c>
      <c r="B15" s="1">
        <v>113</v>
      </c>
    </row>
    <row r="16" spans="1:2">
      <c r="A16" s="17" t="s">
        <v>1525</v>
      </c>
      <c r="B16" s="1">
        <v>1465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7"/>
  <sheetViews>
    <sheetView workbookViewId="0">
      <selection activeCell="D19" sqref="D19"/>
    </sheetView>
  </sheetViews>
  <sheetFormatPr defaultRowHeight="14.25"/>
  <cols>
    <col min="1" max="1" width="15.625" customWidth="1"/>
    <col min="2" max="2" width="16.125" bestFit="1" customWidth="1"/>
    <col min="3" max="3" width="4.875" customWidth="1"/>
    <col min="4" max="4" width="11.375" bestFit="1" customWidth="1"/>
  </cols>
  <sheetData>
    <row r="3" spans="1:4">
      <c r="A3" s="16" t="s">
        <v>1531</v>
      </c>
      <c r="B3" s="16" t="s">
        <v>1528</v>
      </c>
    </row>
    <row r="4" spans="1:4">
      <c r="A4" s="16" t="s">
        <v>1524</v>
      </c>
      <c r="B4" t="s">
        <v>1529</v>
      </c>
      <c r="C4" t="s">
        <v>1530</v>
      </c>
      <c r="D4" t="s">
        <v>1525</v>
      </c>
    </row>
    <row r="5" spans="1:4">
      <c r="A5" s="17" t="s">
        <v>1499</v>
      </c>
      <c r="B5" s="1">
        <v>31</v>
      </c>
      <c r="C5" s="1">
        <v>555</v>
      </c>
      <c r="D5" s="1">
        <v>586</v>
      </c>
    </row>
    <row r="6" spans="1:4">
      <c r="A6" s="17" t="s">
        <v>1496</v>
      </c>
      <c r="B6" s="1">
        <v>51</v>
      </c>
      <c r="C6" s="1">
        <v>828</v>
      </c>
      <c r="D6" s="1">
        <v>879</v>
      </c>
    </row>
    <row r="7" spans="1:4">
      <c r="A7" s="17" t="s">
        <v>1525</v>
      </c>
      <c r="B7" s="1">
        <v>82</v>
      </c>
      <c r="C7" s="1">
        <v>1383</v>
      </c>
      <c r="D7" s="1">
        <v>1465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A3" sqref="A3"/>
      <pivotSelection pane="bottomRight" activeRow="4" previousRow="4" click="2" r:id="rId1">
        <pivotArea field="0" type="button" dataOnly="0" labelOnly="1" outline="0" axis="axisRow" fieldPosition="0"/>
      </pivotSelection>
    </sheetView>
  </sheetViews>
  <sheetFormatPr defaultRowHeight="14.25"/>
  <cols>
    <col min="1" max="1" width="13.125" customWidth="1"/>
    <col min="2" max="2" width="15.625" bestFit="1" customWidth="1"/>
  </cols>
  <sheetData>
    <row r="3" spans="1:2">
      <c r="A3" s="16" t="s">
        <v>1524</v>
      </c>
      <c r="B3" t="s">
        <v>1531</v>
      </c>
    </row>
    <row r="4" spans="1:2">
      <c r="A4" s="17">
        <v>1</v>
      </c>
      <c r="B4" s="1">
        <v>544</v>
      </c>
    </row>
    <row r="5" spans="1:2">
      <c r="A5" s="17">
        <v>2</v>
      </c>
      <c r="B5" s="1">
        <v>528</v>
      </c>
    </row>
    <row r="6" spans="1:2">
      <c r="A6" s="17">
        <v>3</v>
      </c>
      <c r="B6" s="1">
        <v>218</v>
      </c>
    </row>
    <row r="7" spans="1:2">
      <c r="A7" s="17">
        <v>4</v>
      </c>
      <c r="B7" s="1">
        <v>105</v>
      </c>
    </row>
    <row r="8" spans="1:2">
      <c r="A8" s="17">
        <v>5</v>
      </c>
      <c r="B8" s="1">
        <v>70</v>
      </c>
    </row>
    <row r="9" spans="1:2">
      <c r="A9" s="17" t="s">
        <v>1525</v>
      </c>
      <c r="B9" s="1">
        <v>1465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B5" sqref="B5"/>
    </sheetView>
  </sheetViews>
  <sheetFormatPr defaultRowHeight="14.25"/>
  <cols>
    <col min="1" max="1" width="13.125" bestFit="1" customWidth="1"/>
    <col min="2" max="2" width="15.625" bestFit="1" customWidth="1"/>
  </cols>
  <sheetData>
    <row r="3" spans="1:2">
      <c r="A3" s="16" t="s">
        <v>1524</v>
      </c>
      <c r="B3" t="s">
        <v>1531</v>
      </c>
    </row>
    <row r="4" spans="1:2">
      <c r="A4" s="17" t="s">
        <v>16</v>
      </c>
      <c r="B4" s="1">
        <v>326</v>
      </c>
    </row>
    <row r="5" spans="1:2">
      <c r="A5" s="17" t="s">
        <v>15</v>
      </c>
      <c r="B5" s="1">
        <v>670</v>
      </c>
    </row>
    <row r="6" spans="1:2">
      <c r="A6" s="17" t="s">
        <v>12</v>
      </c>
      <c r="B6" s="1">
        <v>469</v>
      </c>
    </row>
    <row r="7" spans="1:2">
      <c r="A7" s="17" t="s">
        <v>1525</v>
      </c>
      <c r="B7" s="1">
        <v>1465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tabSelected="1" workbookViewId="0">
      <selection activeCell="G10" sqref="G10"/>
    </sheetView>
  </sheetViews>
  <sheetFormatPr defaultRowHeight="14.25"/>
  <cols>
    <col min="1" max="1" width="13.125" customWidth="1"/>
    <col min="2" max="2" width="15.625" customWidth="1"/>
    <col min="3" max="6" width="1.875" bestFit="1" customWidth="1"/>
    <col min="7" max="7" width="11.375" bestFit="1" customWidth="1"/>
  </cols>
  <sheetData>
    <row r="3" spans="1:2">
      <c r="A3" s="16" t="s">
        <v>1524</v>
      </c>
      <c r="B3" t="s">
        <v>1531</v>
      </c>
    </row>
    <row r="4" spans="1:2">
      <c r="A4" s="17" t="s">
        <v>1526</v>
      </c>
      <c r="B4" s="1">
        <v>1465</v>
      </c>
    </row>
    <row r="5" spans="1:2">
      <c r="A5" s="17">
        <v>1</v>
      </c>
      <c r="B5" s="1">
        <v>1465</v>
      </c>
    </row>
    <row r="6" spans="1:2">
      <c r="A6" s="17">
        <v>2</v>
      </c>
      <c r="B6" s="1">
        <v>1465</v>
      </c>
    </row>
    <row r="7" spans="1:2">
      <c r="A7" s="17">
        <v>3</v>
      </c>
      <c r="B7" s="1">
        <v>1465</v>
      </c>
    </row>
    <row r="8" spans="1:2">
      <c r="A8" s="17">
        <v>4</v>
      </c>
      <c r="B8" s="1">
        <v>1465</v>
      </c>
    </row>
    <row r="9" spans="1:2">
      <c r="A9" s="17" t="s">
        <v>1525</v>
      </c>
      <c r="B9" s="1">
        <v>1465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A3" sqref="A3"/>
    </sheetView>
  </sheetViews>
  <sheetFormatPr defaultRowHeight="14.25"/>
  <sheetData>
    <row r="3" spans="1:3">
      <c r="A3" s="7"/>
      <c r="B3" s="8"/>
      <c r="C3" s="9"/>
    </row>
    <row r="4" spans="1:3">
      <c r="A4" s="10"/>
      <c r="B4" s="11"/>
      <c r="C4" s="12"/>
    </row>
    <row r="5" spans="1:3">
      <c r="A5" s="10"/>
      <c r="B5" s="11"/>
      <c r="C5" s="12"/>
    </row>
    <row r="6" spans="1:3">
      <c r="A6" s="10"/>
      <c r="B6" s="11"/>
      <c r="C6" s="12"/>
    </row>
    <row r="7" spans="1:3">
      <c r="A7" s="10"/>
      <c r="B7" s="11"/>
      <c r="C7" s="12"/>
    </row>
    <row r="8" spans="1:3">
      <c r="A8" s="10"/>
      <c r="B8" s="11"/>
      <c r="C8" s="12"/>
    </row>
    <row r="9" spans="1:3">
      <c r="A9" s="10"/>
      <c r="B9" s="11"/>
      <c r="C9" s="12"/>
    </row>
    <row r="10" spans="1:3">
      <c r="A10" s="10"/>
      <c r="B10" s="11"/>
      <c r="C10" s="12"/>
    </row>
    <row r="11" spans="1:3">
      <c r="A11" s="10"/>
      <c r="B11" s="11"/>
      <c r="C11" s="12"/>
    </row>
    <row r="12" spans="1:3">
      <c r="A12" s="10"/>
      <c r="B12" s="11"/>
      <c r="C12" s="12"/>
    </row>
    <row r="13" spans="1:3">
      <c r="A13" s="10"/>
      <c r="B13" s="11"/>
      <c r="C13" s="12"/>
    </row>
    <row r="14" spans="1:3">
      <c r="A14" s="10"/>
      <c r="B14" s="11"/>
      <c r="C14" s="12"/>
    </row>
    <row r="15" spans="1:3">
      <c r="A15" s="10"/>
      <c r="B15" s="11"/>
      <c r="C15" s="12"/>
    </row>
    <row r="16" spans="1:3">
      <c r="A16" s="10"/>
      <c r="B16" s="11"/>
      <c r="C16" s="12"/>
    </row>
    <row r="17" spans="1:3">
      <c r="A17" s="10"/>
      <c r="B17" s="11"/>
      <c r="C17" s="12"/>
    </row>
    <row r="18" spans="1:3">
      <c r="A18" s="10"/>
      <c r="B18" s="11"/>
      <c r="C18" s="12"/>
    </row>
    <row r="19" spans="1:3">
      <c r="A19" s="10"/>
      <c r="B19" s="11"/>
      <c r="C19" s="12"/>
    </row>
    <row r="20" spans="1:3">
      <c r="A20" s="13"/>
      <c r="B20" s="14"/>
      <c r="C20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7"/>
  <sheetViews>
    <sheetView workbookViewId="0">
      <selection activeCell="G6" sqref="G6"/>
    </sheetView>
  </sheetViews>
  <sheetFormatPr defaultRowHeight="14.25"/>
  <cols>
    <col min="5" max="5" width="12" customWidth="1"/>
  </cols>
  <sheetData>
    <row r="3" spans="1:7" ht="15.75">
      <c r="A3" s="5" t="s">
        <v>1502</v>
      </c>
      <c r="B3" s="5"/>
      <c r="C3" s="5"/>
      <c r="D3" s="5"/>
      <c r="E3" s="5"/>
      <c r="G3" s="3">
        <f>COUNTIF(Table1[Department],"Sales")</f>
        <v>443</v>
      </c>
    </row>
    <row r="4" spans="1:7" ht="15.75">
      <c r="A4" s="5" t="s">
        <v>1503</v>
      </c>
      <c r="B4" s="5"/>
      <c r="C4" s="5"/>
      <c r="D4" s="5"/>
      <c r="E4" s="5"/>
      <c r="F4" s="5"/>
      <c r="G4" s="3">
        <f>COUNTIF(EmployeeDataSample!D:D,"Research &amp; Development")</f>
        <v>959</v>
      </c>
    </row>
    <row r="5" spans="1:7" ht="15.75">
      <c r="A5" s="2" t="s">
        <v>1504</v>
      </c>
      <c r="G5" s="3">
        <f>COUNTIF(EmployeeDataSample!F:F,"Female")</f>
        <v>586</v>
      </c>
    </row>
    <row r="6" spans="1:7" ht="15.75">
      <c r="A6" s="2" t="s">
        <v>1505</v>
      </c>
      <c r="G6" s="3" t="s">
        <v>1516</v>
      </c>
    </row>
    <row r="7" spans="1:7" ht="15.75">
      <c r="A7" s="2" t="s">
        <v>1522</v>
      </c>
      <c r="G7">
        <f>COUNTIFS(EmployeeDataSample!F:F, "Male", EmployeeDataSample!V:V, 2024)</f>
        <v>51</v>
      </c>
    </row>
  </sheetData>
  <mergeCells count="2">
    <mergeCell ref="A4:F4"/>
    <mergeCell ref="A3:E3"/>
  </mergeCells>
  <pageMargins left="0.7" right="0.7" top="0.75" bottom="0.75" header="0.3" footer="0.3"/>
  <pageSetup paperSize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5E088A5-15D5-47D8-BFBD-82600E4300B3}">
  <ds:schemaRefs/>
</ds:datastoreItem>
</file>

<file path=customXml/itemProps2.xml><?xml version="1.0" encoding="utf-8"?>
<ds:datastoreItem xmlns:ds="http://schemas.openxmlformats.org/officeDocument/2006/customXml" ds:itemID="{EAB8B993-7A63-413F-BE9A-9AF0AB5C8235}">
  <ds:schemaRefs/>
</ds:datastoreItem>
</file>

<file path=customXml/itemProps3.xml><?xml version="1.0" encoding="utf-8"?>
<ds:datastoreItem xmlns:ds="http://schemas.openxmlformats.org/officeDocument/2006/customXml" ds:itemID="{78104300-F00C-4925-8CCD-AC75860F1D23}">
  <ds:schemaRefs/>
</ds:datastoreItem>
</file>

<file path=customXml/itemProps4.xml><?xml version="1.0" encoding="utf-8"?>
<ds:datastoreItem xmlns:ds="http://schemas.openxmlformats.org/officeDocument/2006/customXml" ds:itemID="{971CC701-1BF5-463F-89FD-8C1B2497DE95}">
  <ds:schemaRefs/>
</ds:datastoreItem>
</file>

<file path=customXml/itemProps5.xml><?xml version="1.0" encoding="utf-8"?>
<ds:datastoreItem xmlns:ds="http://schemas.openxmlformats.org/officeDocument/2006/customXml" ds:itemID="{12223A47-21E8-403B-B6F5-F8216C20ED6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EmployeeDataSample</vt:lpstr>
      <vt:lpstr>Pivot Table</vt:lpstr>
      <vt:lpstr>Pivot Table Male Employes</vt:lpstr>
      <vt:lpstr>Sheet9</vt:lpstr>
      <vt:lpstr>Sheet10</vt:lpstr>
      <vt:lpstr>Sheet8</vt:lpstr>
      <vt:lpstr>Sheet7</vt:lpstr>
      <vt:lpstr>Results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2026-02-10T08:10:19Z</dcterms:created>
  <dcterms:modified xsi:type="dcterms:W3CDTF">2026-04-19T21:18:26Z</dcterms:modified>
</cp:coreProperties>
</file>